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2024" sheetId="1" r:id="rId4"/>
    <sheet state="visible" name="Tabela dinâmica 2" sheetId="2" r:id="rId5"/>
    <sheet state="visible" name="Resumo + Gráficos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AOVG3rGtLHCvur9B6Rztt2DTnmdt78fbMKBaJaEblhg="/>
    </ext>
  </extLst>
</workbook>
</file>

<file path=xl/sharedStrings.xml><?xml version="1.0" encoding="utf-8"?>
<sst xmlns="http://schemas.openxmlformats.org/spreadsheetml/2006/main" count="1068" uniqueCount="35">
  <si>
    <t>ID</t>
  </si>
  <si>
    <t>Idade</t>
  </si>
  <si>
    <t>Data da Coleta</t>
  </si>
  <si>
    <t>Resultado</t>
  </si>
  <si>
    <t>Exames alterados (LSIL/HSIL/ASC-H/AGC/ASC-US)</t>
  </si>
  <si>
    <t>NEGATIVO</t>
  </si>
  <si>
    <t>Média de idade (geral)</t>
  </si>
  <si>
    <t>Categoria</t>
  </si>
  <si>
    <t>Quantidade</t>
  </si>
  <si>
    <t>Negativo</t>
  </si>
  <si>
    <t>Alterado</t>
  </si>
  <si>
    <t>ASC-H</t>
  </si>
  <si>
    <t>INSATISFAT</t>
  </si>
  <si>
    <t>HSIL</t>
  </si>
  <si>
    <t>LSIL</t>
  </si>
  <si>
    <t>ASC-US</t>
  </si>
  <si>
    <t>AGC-US</t>
  </si>
  <si>
    <t>ALTERADO</t>
  </si>
  <si>
    <t>COUNTA de Resultado</t>
  </si>
  <si>
    <t>Total geral</t>
  </si>
  <si>
    <t>Resumo Estatístico (2024)</t>
  </si>
  <si>
    <t>Indicador</t>
  </si>
  <si>
    <t>Exames alterados (LSIL/HSIL/ASC-H/AGC/CARCINOMA)</t>
  </si>
  <si>
    <t>DP da idade (geral)</t>
  </si>
  <si>
    <t>Média – NEGATIVO</t>
  </si>
  <si>
    <t>Grupo</t>
  </si>
  <si>
    <t>Média idade</t>
  </si>
  <si>
    <t>Faixa</t>
  </si>
  <si>
    <t>N exames</t>
  </si>
  <si>
    <t>N alterados</t>
  </si>
  <si>
    <t>15–24</t>
  </si>
  <si>
    <t>25–34</t>
  </si>
  <si>
    <t>35–44</t>
  </si>
  <si>
    <t>45–54</t>
  </si>
  <si>
    <t>55+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</si>
</sst>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4B3F72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6E6FA"/>
        <bgColor rgb="FFE6E6FA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readingOrder="0"/>
    </xf>
    <xf borderId="0" fillId="0" fontId="2" numFmtId="1" xfId="0" applyAlignment="1" applyFont="1" applyNumberFormat="1">
      <alignment horizontal="center"/>
    </xf>
    <xf borderId="2" fillId="2" fontId="1" numFmtId="0" xfId="0" applyBorder="1" applyFont="1"/>
    <xf borderId="2" fillId="0" fontId="3" numFmtId="0" xfId="0" applyBorder="1" applyFont="1"/>
    <xf borderId="2" fillId="0" fontId="2" numFmtId="0" xfId="0" applyAlignment="1" applyBorder="1" applyFont="1">
      <alignment horizontal="center"/>
    </xf>
    <xf borderId="2" fillId="0" fontId="2" numFmtId="165" xfId="0" applyAlignment="1" applyBorder="1" applyFont="1" applyNumberFormat="1">
      <alignment horizontal="center"/>
    </xf>
    <xf borderId="2" fillId="0" fontId="2" numFmtId="166" xfId="0" applyAlignment="1" applyBorder="1" applyFont="1" applyNumberFormat="1">
      <alignment horizontal="center"/>
    </xf>
    <xf borderId="0" fillId="0" fontId="2" numFmtId="0" xfId="0" applyFont="1"/>
    <xf borderId="0" fillId="0" fontId="2" numFmtId="166" xfId="0" applyFont="1" applyNumberFormat="1"/>
    <xf borderId="0" fillId="0" fontId="2" numFmtId="0" xfId="0" applyFont="1"/>
    <xf borderId="0" fillId="0" fontId="2" numFmtId="1" xfId="0" applyFont="1" applyNumberFormat="1"/>
    <xf borderId="0" fillId="0" fontId="4" numFmtId="0" xfId="0" applyFont="1"/>
    <xf borderId="2" fillId="2" fontId="1" numFmtId="0" xfId="0" applyAlignment="1" applyBorder="1" applyFont="1">
      <alignment readingOrder="0"/>
    </xf>
    <xf borderId="2" fillId="3" fontId="3" numFmtId="0" xfId="0" applyBorder="1" applyFill="1" applyFont="1"/>
    <xf borderId="2" fillId="3" fontId="3" numFmtId="1" xfId="0" applyBorder="1" applyFont="1" applyNumberFormat="1"/>
    <xf borderId="2" fillId="0" fontId="3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Resultados PCCU 2024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'Resumo + Gráficos'!$D$4:$D$5</c:f>
            </c:strRef>
          </c:cat>
          <c:val>
            <c:numRef>
              <c:f>'Resumo + Gráficos'!$E$4:$E$5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Média de Idade por Resultado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Média de idade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'Resumo + Gráficos'!$D$9:$D$10</c:f>
            </c:strRef>
          </c:cat>
          <c:val>
            <c:numRef>
              <c:f>'Resumo + Gráficos'!$E$9:$E$10</c:f>
              <c:numCache/>
            </c:numRef>
          </c:val>
        </c:ser>
        <c:axId val="1319844098"/>
        <c:axId val="1770321009"/>
      </c:barChart>
      <c:catAx>
        <c:axId val="1319844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Grupo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321009"/>
      </c:catAx>
      <c:valAx>
        <c:axId val="1770321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Idade (anos)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844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Alterações por Faixa Etária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Alterações por Faixa Etária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'Resumo + Gráficos'!$D$14:$D$18</c:f>
            </c:strRef>
          </c:cat>
          <c:val>
            <c:numRef>
              <c:f>'Resumo + Gráficos'!$F$14:$F$18</c:f>
              <c:numCache/>
            </c:numRef>
          </c:val>
        </c:ser>
        <c:axId val="874080086"/>
        <c:axId val="1637051213"/>
      </c:barChart>
      <c:catAx>
        <c:axId val="874080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Faixa etária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051213"/>
      </c:catAx>
      <c:valAx>
        <c:axId val="1637051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Nº de Alterações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080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2190750</xdr:colOff>
      <xdr:row>0</xdr:row>
      <xdr:rowOff>0</xdr:rowOff>
    </xdr:from>
    <xdr:ext cx="5229225" cy="3457575"/>
    <xdr:graphicFrame>
      <xdr:nvGraphicFramePr>
        <xdr:cNvPr id="139138187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</xdr:colOff>
      <xdr:row>0</xdr:row>
      <xdr:rowOff>9525</xdr:rowOff>
    </xdr:from>
    <xdr:ext cx="5229225" cy="3162300"/>
    <xdr:graphicFrame>
      <xdr:nvGraphicFramePr>
        <xdr:cNvPr id="74547589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19</xdr:row>
      <xdr:rowOff>0</xdr:rowOff>
    </xdr:from>
    <xdr:ext cx="5162550" cy="2857500"/>
    <xdr:graphicFrame>
      <xdr:nvGraphicFramePr>
        <xdr:cNvPr id="33046632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D1023" sheet="Dados_2024"/>
  </cacheSource>
  <cacheFields>
    <cacheField name="Idade" numFmtId="1">
      <sharedItems containsSemiMixedTypes="0" containsString="0" containsNumber="1" containsInteger="1">
        <n v="44.0"/>
        <n v="45.0"/>
        <n v="34.0"/>
        <n v="47.0"/>
        <n v="38.0"/>
        <n v="53.0"/>
        <n v="37.0"/>
        <n v="27.0"/>
        <n v="58.0"/>
        <n v="46.0"/>
        <n v="50.0"/>
        <n v="35.0"/>
        <n v="48.0"/>
        <n v="40.0"/>
        <n v="30.0"/>
        <n v="42.0"/>
        <n v="43.0"/>
        <n v="57.0"/>
        <n v="62.0"/>
        <n v="55.0"/>
        <n v="51.0"/>
        <n v="39.0"/>
        <n v="56.0"/>
        <n v="65.0"/>
        <n v="54.0"/>
        <n v="49.0"/>
        <n v="36.0"/>
        <n v="26.0"/>
        <n v="52.0"/>
        <n v="41.0"/>
        <n v="29.0"/>
        <n v="60.0"/>
        <n v="59.0"/>
        <n v="64.0"/>
        <n v="31.0"/>
        <n v="61.0"/>
        <n v="63.0"/>
        <n v="28.0"/>
        <n v="32.0"/>
        <n v="66.0"/>
        <n v="33.0"/>
        <n v="21.0"/>
        <n v="25.0"/>
      </sharedItems>
    </cacheField>
    <cacheField name="Data da Coleta" numFmtId="164">
      <sharedItems containsSemiMixedTypes="0" containsDate="1" containsString="0">
        <d v="2024-01-03T00:00:00Z"/>
        <d v="2024-01-04T00:00:00Z"/>
        <d v="2024-01-05T00:00:00Z"/>
        <d v="2024-01-08T00:00:00Z"/>
        <d v="2024-01-09T00:00:00Z"/>
        <d v="2024-01-10T00:00:00Z"/>
        <d v="2024-01-11T00:00:00Z"/>
        <d v="2024-01-12T00:00:00Z"/>
        <d v="2024-01-15T00:00:00Z"/>
        <d v="2024-01-16T00:00:00Z"/>
        <d v="2024-01-17T00:00:00Z"/>
        <d v="2024-01-18T00:00:00Z"/>
        <d v="2024-01-19T00:00:00Z"/>
        <d v="2024-01-22T00:00:00Z"/>
        <d v="2024-01-24T00:00:00Z"/>
        <d v="2024-01-25T00:00:00Z"/>
        <d v="2024-01-26T00:00:00Z"/>
        <d v="2024-01-29T00:00:00Z"/>
        <d v="2024-01-30T00:00:00Z"/>
        <d v="2024-02-01T00:00:00Z"/>
        <d v="2024-02-02T00:00:00Z"/>
        <d v="2024-02-05T00:00:00Z"/>
        <d v="2024-02-06T00:00:00Z"/>
        <d v="2024-02-07T00:00:00Z"/>
        <d v="2024-02-08T00:00:00Z"/>
        <d v="2024-02-09T00:00:00Z"/>
        <d v="2024-02-14T00:00:00Z"/>
        <d v="2024-02-15T00:00:00Z"/>
        <d v="2024-02-16T00:00:00Z"/>
        <d v="2024-02-19T00:00:00Z"/>
        <d v="2024-02-20T00:00:00Z"/>
        <d v="2024-02-21T00:00:00Z"/>
        <d v="2024-02-22T00:00:00Z"/>
        <d v="2024-02-23T00:00:00Z"/>
        <d v="2024-02-26T00:00:00Z"/>
        <d v="2024-02-27T00:00:00Z"/>
        <d v="2024-02-28T00:00:00Z"/>
        <d v="2024-02-29T00:00:00Z"/>
        <d v="2024-03-01T00:00:00Z"/>
        <d v="2024-03-04T00:00:00Z"/>
        <d v="2024-03-05T00:00:00Z"/>
        <d v="2024-03-06T00:00:00Z"/>
        <d v="2024-03-07T00:00:00Z"/>
        <d v="2024-03-08T00:00:00Z"/>
        <d v="2024-03-11T00:00:00Z"/>
        <d v="2024-03-12T00:00:00Z"/>
        <d v="2024-03-13T00:00:00Z"/>
        <d v="2024-03-14T00:00:00Z"/>
        <d v="2024-03-15T00:00:00Z"/>
        <d v="2024-03-20T00:00:00Z"/>
        <d v="2024-03-21T00:00:00Z"/>
        <d v="2024-03-22T00:00:00Z"/>
        <d v="2024-03-25T00:00:00Z"/>
        <d v="2024-03-26T00:00:00Z"/>
        <d v="2024-03-27T00:00:00Z"/>
        <d v="2024-03-28T00:00:00Z"/>
        <d v="2024-04-01T00:00:00Z"/>
        <d v="2024-04-02T00:00:00Z"/>
        <d v="2024-04-03T00:00:00Z"/>
        <d v="2024-04-04T00:00:00Z"/>
        <d v="2024-04-05T00:00:00Z"/>
        <d v="2024-04-08T00:00:00Z"/>
        <d v="2024-04-09T00:00:00Z"/>
        <d v="2024-04-10T00:00:00Z"/>
        <d v="2024-04-11T00:00:00Z"/>
        <d v="2024-04-12T00:00:00Z"/>
        <d v="2024-04-15T00:00:00Z"/>
        <d v="2024-04-16T00:00:00Z"/>
        <d v="2024-04-17T00:00:00Z"/>
        <d v="2024-04-18T00:00:00Z"/>
        <d v="2024-04-19T00:00:00Z"/>
        <d v="2024-04-22T00:00:00Z"/>
        <d v="2024-04-23T00:00:00Z"/>
        <d v="2024-04-24T00:00:00Z"/>
        <d v="2024-04-25T00:00:00Z"/>
        <d v="2024-04-26T00:00:00Z"/>
        <d v="2024-04-29T00:00:00Z"/>
        <d v="2024-04-30T00:00:00Z"/>
        <d v="2024-05-02T00:00:00Z"/>
        <d v="2024-05-03T00:00:00Z"/>
        <d v="2024-05-06T00:00:00Z"/>
        <d v="2024-05-07T00:00:00Z"/>
        <d v="2024-05-08T00:00:00Z"/>
        <d v="2024-05-09T00:00:00Z"/>
        <d v="2024-05-10T00:00:00Z"/>
        <d v="2024-05-13T00:00:00Z"/>
        <d v="2024-05-14T00:00:00Z"/>
        <d v="2024-05-16T00:00:00Z"/>
        <d v="2024-05-17T00:00:00Z"/>
        <d v="2024-05-20T00:00:00Z"/>
        <d v="2024-05-21T00:00:00Z"/>
        <d v="2024-05-22T00:00:00Z"/>
        <d v="2024-05-23T00:00:00Z"/>
        <d v="2024-05-24T00:00:00Z"/>
        <d v="2024-05-27T00:00:00Z"/>
        <d v="2024-05-28T00:00:00Z"/>
        <d v="2024-05-29T00:00:00Z"/>
        <d v="2024-06-03T00:00:00Z"/>
        <d v="2024-06-05T00:00:00Z"/>
        <d v="2024-06-06T00:00:00Z"/>
        <d v="2024-06-07T00:00:00Z"/>
        <d v="2024-06-10T00:00:00Z"/>
        <d v="2024-06-11T00:00:00Z"/>
        <d v="2024-06-12T00:00:00Z"/>
        <d v="2024-06-13T00:00:00Z"/>
        <d v="2024-06-14T00:00:00Z"/>
        <d v="2024-06-17T00:00:00Z"/>
        <d v="2024-06-19T00:00:00Z"/>
        <d v="2024-06-20T00:00:00Z"/>
        <d v="2024-06-21T00:00:00Z"/>
        <d v="2024-06-24T00:00:00Z"/>
        <d v="2024-06-26T00:00:00Z"/>
        <d v="2024-06-27T00:00:00Z"/>
        <d v="2024-06-28T00:00:00Z"/>
        <d v="2024-07-01T00:00:00Z"/>
        <d v="2024-07-02T00:00:00Z"/>
        <d v="2024-07-04T00:00:00Z"/>
        <d v="2024-07-08T00:00:00Z"/>
        <d v="2024-07-09T00:00:00Z"/>
        <d v="2024-07-10T00:00:00Z"/>
        <d v="2024-07-11T00:00:00Z"/>
        <d v="2024-07-12T00:00:00Z"/>
        <d v="2024-07-15T00:00:00Z"/>
        <d v="2024-07-16T00:00:00Z"/>
        <d v="2024-07-17T00:00:00Z"/>
        <d v="2024-07-18T00:00:00Z"/>
        <d v="2024-07-19T00:00:00Z"/>
        <d v="2024-07-22T00:00:00Z"/>
        <d v="2024-07-23T00:00:00Z"/>
        <d v="2024-07-24T00:00:00Z"/>
        <d v="2024-07-25T00:00:00Z"/>
        <d v="2024-07-26T00:00:00Z"/>
        <d v="2024-07-29T00:00:00Z"/>
        <d v="2024-07-30T00:00:00Z"/>
        <d v="2024-07-31T00:00:00Z"/>
        <d v="2024-08-01T00:00:00Z"/>
        <d v="2024-08-02T00:00:00Z"/>
        <d v="2024-08-04T00:00:00Z"/>
        <d v="2024-08-05T00:00:00Z"/>
        <d v="2024-08-06T00:00:00Z"/>
        <d v="2024-08-07T00:00:00Z"/>
        <d v="2024-08-08T00:00:00Z"/>
        <d v="2024-08-09T00:00:00Z"/>
        <d v="2024-08-13T00:00:00Z"/>
        <d v="2024-08-14T00:00:00Z"/>
        <d v="2024-08-15T00:00:00Z"/>
        <d v="2024-08-16T00:00:00Z"/>
        <d v="2024-08-20T00:00:00Z"/>
        <d v="2024-08-21T00:00:00Z"/>
        <d v="2024-08-22T00:00:00Z"/>
        <d v="2024-08-23T00:00:00Z"/>
        <d v="2024-08-26T00:00:00Z"/>
        <d v="2024-08-27T00:00:00Z"/>
        <d v="2024-08-28T00:00:00Z"/>
        <d v="2024-08-29T00:00:00Z"/>
        <d v="2024-08-30T00:00:00Z"/>
        <d v="2024-09-02T00:00:00Z"/>
        <d v="2024-09-03T00:00:00Z"/>
        <d v="2024-09-04T00:00:00Z"/>
        <d v="2024-09-05T00:00:00Z"/>
        <d v="2024-09-06T00:00:00Z"/>
        <d v="2024-09-09T00:00:00Z"/>
        <d v="2024-09-10T00:00:00Z"/>
        <d v="2024-09-11T00:00:00Z"/>
        <d v="2024-09-12T00:00:00Z"/>
        <d v="2024-09-16T00:00:00Z"/>
        <d v="2024-09-17T00:00:00Z"/>
        <d v="2024-09-18T00:00:00Z"/>
        <d v="2024-09-19T00:00:00Z"/>
        <d v="2024-09-20T00:00:00Z"/>
        <d v="2024-09-23T00:00:00Z"/>
        <d v="2024-09-24T00:00:00Z"/>
        <d v="2024-09-26T00:00:00Z"/>
        <d v="2024-09-27T00:00:00Z"/>
        <d v="2024-09-30T00:00:00Z"/>
        <d v="2024-10-01T00:00:00Z"/>
        <d v="2024-10-02T00:00:00Z"/>
        <d v="2024-10-03T00:00:00Z"/>
        <d v="2024-10-04T00:00:00Z"/>
        <d v="2024-10-07T00:00:00Z"/>
        <d v="2024-10-08T00:00:00Z"/>
        <d v="2024-10-09T00:00:00Z"/>
        <d v="2024-10-10T00:00:00Z"/>
        <d v="2024-10-11T00:00:00Z"/>
        <d v="2024-10-14T00:00:00Z"/>
        <d v="2024-10-15T00:00:00Z"/>
        <d v="2024-10-16T00:00:00Z"/>
        <d v="2024-10-17T00:00:00Z"/>
        <d v="2024-10-18T00:00:00Z"/>
        <d v="2024-10-21T00:00:00Z"/>
        <d v="2024-10-22T00:00:00Z"/>
        <d v="2024-10-23T00:00:00Z"/>
        <d v="2024-10-24T00:00:00Z"/>
        <d v="2024-10-25T00:00:00Z"/>
        <d v="2024-10-28T00:00:00Z"/>
        <d v="2024-10-29T00:00:00Z"/>
        <d v="2024-10-30T00:00:00Z"/>
        <d v="2024-10-31T00:00:00Z"/>
        <d v="2024-11-01T00:00:00Z"/>
        <d v="2024-11-04T00:00:00Z"/>
        <d v="2024-11-05T00:00:00Z"/>
        <d v="2024-11-06T00:00:00Z"/>
        <d v="2024-11-07T00:00:00Z"/>
        <d v="2024-11-08T00:00:00Z"/>
        <d v="2024-11-11T00:00:00Z"/>
        <d v="2024-11-12T00:00:00Z"/>
        <d v="2024-11-13T00:00:00Z"/>
        <d v="2024-11-14T00:00:00Z"/>
        <d v="2024-11-18T00:00:00Z"/>
        <d v="2024-11-19T00:00:00Z"/>
        <d v="2024-11-21T00:00:00Z"/>
        <d v="2024-11-22T00:00:00Z"/>
        <d v="2024-11-25T00:00:00Z"/>
        <d v="2024-11-26T00:00:00Z"/>
        <d v="2024-11-27T00:00:00Z"/>
        <d v="2024-11-28T00:00:00Z"/>
        <d v="2024-11-29T00:00:00Z"/>
        <d v="2024-12-02T00:00:00Z"/>
        <d v="2024-12-03T00:00:00Z"/>
        <d v="2024-12-04T00:00:00Z"/>
        <d v="2024-12-05T00:00:00Z"/>
        <d v="2024-12-06T00:00:00Z"/>
        <d v="2024-12-09T00:00:00Z"/>
        <d v="2024-12-10T00:00:00Z"/>
        <d v="2024-12-11T00:00:00Z"/>
        <d v="2024-12-12T00:00:00Z"/>
        <d v="2024-12-13T00:00:00Z"/>
        <d v="2024-12-30T00:00:00Z"/>
      </sharedItems>
    </cacheField>
    <cacheField name="Resultado" numFmtId="0">
      <sharedItems>
        <s v="NEGATIVO"/>
        <s v="ASC-H"/>
        <s v="INSATISFAT"/>
        <s v="HSIL"/>
        <s v="LSIL"/>
        <s v="ASC-US"/>
        <s v="AGC-US"/>
        <s v="ALTERAD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2" cacheId="0" dataCaption="" compact="0" compactData="0">
  <location ref="A1:J46" firstHeaderRow="0" firstDataRow="1" firstDataCol="1"/>
  <pivotFields>
    <pivotField name="Idade" axis="axisRow" compact="0" numFmtId="1" outline="0" multipleItemSelectionAllowed="1" showAll="0" sortType="ascending">
      <items>
        <item x="41"/>
        <item x="42"/>
        <item x="27"/>
        <item x="7"/>
        <item x="37"/>
        <item x="30"/>
        <item x="14"/>
        <item x="34"/>
        <item x="38"/>
        <item x="40"/>
        <item x="2"/>
        <item x="11"/>
        <item x="26"/>
        <item x="6"/>
        <item x="4"/>
        <item x="21"/>
        <item x="13"/>
        <item x="29"/>
        <item x="15"/>
        <item x="16"/>
        <item x="0"/>
        <item x="1"/>
        <item x="9"/>
        <item x="3"/>
        <item x="12"/>
        <item x="25"/>
        <item x="10"/>
        <item x="20"/>
        <item x="28"/>
        <item x="5"/>
        <item x="24"/>
        <item x="19"/>
        <item x="22"/>
        <item x="17"/>
        <item x="8"/>
        <item x="32"/>
        <item x="31"/>
        <item x="35"/>
        <item x="18"/>
        <item x="36"/>
        <item x="33"/>
        <item x="23"/>
        <item x="39"/>
        <item t="default"/>
      </items>
    </pivotField>
    <pivotField name="Data da Cole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Resultado" axis="axisCol" dataField="1" compact="0" outline="0" multipleItemSelectionAllowed="1" showAll="0" sortType="descending">
      <items>
        <item x="0"/>
        <item x="4"/>
        <item x="2"/>
        <item x="3"/>
        <item x="5"/>
        <item x="1"/>
        <item x="7"/>
        <item x="6"/>
        <item t="default"/>
      </items>
    </pivotField>
  </pivotFields>
  <rowFields>
    <field x="0"/>
  </rowFields>
  <colFields>
    <field x="2"/>
  </colFields>
  <dataFields>
    <dataField name="COUNTA of Resultado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47.29"/>
    <col customWidth="1" min="2" max="26" width="47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>
        <f t="array" ref="F1">SUM(COUNTIF(D2:D2024,{"LSIL","HSIL","ASC-H","AGC-US","ASC-US"}))</f>
        <v>75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>
        <v>44.0</v>
      </c>
      <c r="C2" s="7">
        <v>45294.0</v>
      </c>
      <c r="D2" s="8" t="s">
        <v>5</v>
      </c>
      <c r="E2" s="3" t="s">
        <v>6</v>
      </c>
      <c r="F2" s="9">
        <f>AVERAGE(B2:B1022)</f>
        <v>44.84427032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>
        <v>45.0</v>
      </c>
      <c r="C3" s="7">
        <v>45295.0</v>
      </c>
      <c r="D3" s="8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>
        <v>34.0</v>
      </c>
      <c r="C4" s="7">
        <v>45295.0</v>
      </c>
      <c r="D4" s="8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>
        <v>47.0</v>
      </c>
      <c r="C5" s="7">
        <v>45296.0</v>
      </c>
      <c r="D5" s="8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>
        <v>47.0</v>
      </c>
      <c r="C6" s="7">
        <v>45299.0</v>
      </c>
      <c r="D6" s="8" t="s">
        <v>5</v>
      </c>
      <c r="E6" s="10" t="s">
        <v>7</v>
      </c>
      <c r="F6" s="10" t="s">
        <v>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6">
        <v>38.0</v>
      </c>
      <c r="C7" s="7">
        <v>45299.0</v>
      </c>
      <c r="D7" s="8" t="s">
        <v>5</v>
      </c>
      <c r="E7" s="11" t="s">
        <v>9</v>
      </c>
      <c r="F7" s="11">
        <f>COUNTIF(Dados_2024!D2:D2027,"NEGATIVO")</f>
        <v>939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>
        <v>53.0</v>
      </c>
      <c r="C8" s="7">
        <v>45299.0</v>
      </c>
      <c r="D8" s="8" t="s">
        <v>5</v>
      </c>
      <c r="E8" s="11" t="s">
        <v>10</v>
      </c>
      <c r="F8" s="11">
        <f t="array" ref="F8">SUM(COUNTIF(D2:D2027,{"LSIL","HSIL","ASC-H","AGC-US","ASC-US"}))</f>
        <v>75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6">
        <v>44.0</v>
      </c>
      <c r="C9" s="7">
        <v>45299.0</v>
      </c>
      <c r="D9" s="8" t="s">
        <v>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6">
        <v>44.0</v>
      </c>
      <c r="C10" s="7">
        <v>45300.0</v>
      </c>
      <c r="D10" s="8" t="s">
        <v>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>
        <v>37.0</v>
      </c>
      <c r="C11" s="7">
        <v>45300.0</v>
      </c>
      <c r="D11" s="8" t="s">
        <v>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6">
        <v>27.0</v>
      </c>
      <c r="C12" s="7">
        <v>45300.0</v>
      </c>
      <c r="D12" s="8" t="s">
        <v>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6">
        <v>58.0</v>
      </c>
      <c r="C13" s="7">
        <v>45300.0</v>
      </c>
      <c r="D13" s="8" t="s">
        <v>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6">
        <v>46.0</v>
      </c>
      <c r="C14" s="7">
        <v>45300.0</v>
      </c>
      <c r="D14" s="8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6">
        <v>44.0</v>
      </c>
      <c r="C15" s="7">
        <v>45300.0</v>
      </c>
      <c r="D15" s="8" t="s">
        <v>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6">
        <v>50.0</v>
      </c>
      <c r="C16" s="7">
        <v>45301.0</v>
      </c>
      <c r="D16" s="8" t="s">
        <v>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6">
        <v>35.0</v>
      </c>
      <c r="C17" s="7">
        <v>45301.0</v>
      </c>
      <c r="D17" s="8" t="s">
        <v>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6">
        <v>46.0</v>
      </c>
      <c r="C18" s="7">
        <v>45302.0</v>
      </c>
      <c r="D18" s="8" t="s">
        <v>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6">
        <v>48.0</v>
      </c>
      <c r="C19" s="7">
        <v>45303.0</v>
      </c>
      <c r="D19" s="8" t="s">
        <v>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6">
        <v>40.0</v>
      </c>
      <c r="C20" s="7">
        <v>45303.0</v>
      </c>
      <c r="D20" s="8" t="s">
        <v>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6">
        <v>30.0</v>
      </c>
      <c r="C21" s="7">
        <v>45303.0</v>
      </c>
      <c r="D21" s="8" t="s">
        <v>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6">
        <v>46.0</v>
      </c>
      <c r="C22" s="7">
        <v>45306.0</v>
      </c>
      <c r="D22" s="8" t="s">
        <v>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6">
        <v>47.0</v>
      </c>
      <c r="C23" s="7">
        <v>45306.0</v>
      </c>
      <c r="D23" s="8" t="s">
        <v>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6">
        <v>45.0</v>
      </c>
      <c r="C24" s="7">
        <v>45307.0</v>
      </c>
      <c r="D24" s="8" t="s">
        <v>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6">
        <v>42.0</v>
      </c>
      <c r="C25" s="7">
        <v>45307.0</v>
      </c>
      <c r="D25" s="8" t="s">
        <v>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6">
        <v>43.0</v>
      </c>
      <c r="C26" s="7">
        <v>45307.0</v>
      </c>
      <c r="D26" s="8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6">
        <v>45.0</v>
      </c>
      <c r="C27" s="7">
        <v>45307.0</v>
      </c>
      <c r="D27" s="8" t="s">
        <v>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6">
        <v>45.0</v>
      </c>
      <c r="C28" s="7">
        <v>45307.0</v>
      </c>
      <c r="D28" s="8" t="s">
        <v>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6">
        <v>58.0</v>
      </c>
      <c r="C29" s="7">
        <v>45307.0</v>
      </c>
      <c r="D29" s="8" t="s">
        <v>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6">
        <v>57.0</v>
      </c>
      <c r="C30" s="7">
        <v>45307.0</v>
      </c>
      <c r="D30" s="8" t="s">
        <v>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6">
        <v>57.0</v>
      </c>
      <c r="C31" s="7">
        <v>45308.0</v>
      </c>
      <c r="D31" s="8" t="s">
        <v>11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6">
        <v>44.0</v>
      </c>
      <c r="C32" s="7">
        <v>45308.0</v>
      </c>
      <c r="D32" s="8" t="s">
        <v>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6">
        <v>47.0</v>
      </c>
      <c r="C33" s="7">
        <v>45308.0</v>
      </c>
      <c r="D33" s="8" t="s">
        <v>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6">
        <v>62.0</v>
      </c>
      <c r="C34" s="7">
        <v>45308.0</v>
      </c>
      <c r="D34" s="12" t="s">
        <v>12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6">
        <v>55.0</v>
      </c>
      <c r="C35" s="7">
        <v>45308.0</v>
      </c>
      <c r="D35" s="8" t="s">
        <v>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6">
        <v>42.0</v>
      </c>
      <c r="C36" s="7">
        <v>45308.0</v>
      </c>
      <c r="D36" s="8" t="s">
        <v>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6">
        <v>51.0</v>
      </c>
      <c r="C37" s="7">
        <v>45308.0</v>
      </c>
      <c r="D37" s="8" t="s">
        <v>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6">
        <v>39.0</v>
      </c>
      <c r="C38" s="7">
        <v>45308.0</v>
      </c>
      <c r="D38" s="8" t="s">
        <v>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6">
        <v>43.0</v>
      </c>
      <c r="C39" s="7">
        <v>45309.0</v>
      </c>
      <c r="D39" s="12" t="s">
        <v>13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6">
        <v>44.0</v>
      </c>
      <c r="C40" s="7">
        <v>45309.0</v>
      </c>
      <c r="D40" s="12" t="s">
        <v>11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6">
        <v>50.0</v>
      </c>
      <c r="C41" s="7">
        <v>45309.0</v>
      </c>
      <c r="D41" s="8" t="s">
        <v>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6">
        <v>43.0</v>
      </c>
      <c r="C42" s="7">
        <v>45309.0</v>
      </c>
      <c r="D42" s="8" t="s">
        <v>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6">
        <v>62.0</v>
      </c>
      <c r="C43" s="7">
        <v>45309.0</v>
      </c>
      <c r="D43" s="8" t="s">
        <v>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6">
        <v>56.0</v>
      </c>
      <c r="C44" s="7">
        <v>45309.0</v>
      </c>
      <c r="D44" s="8" t="s">
        <v>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6">
        <v>56.0</v>
      </c>
      <c r="C45" s="7">
        <v>45309.0</v>
      </c>
      <c r="D45" s="8" t="s">
        <v>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6">
        <v>65.0</v>
      </c>
      <c r="C46" s="7">
        <v>45309.0</v>
      </c>
      <c r="D46" s="8" t="s">
        <v>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6">
        <v>42.0</v>
      </c>
      <c r="C47" s="7">
        <v>45310.0</v>
      </c>
      <c r="D47" s="12" t="s">
        <v>12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6">
        <v>55.0</v>
      </c>
      <c r="C48" s="7">
        <v>45310.0</v>
      </c>
      <c r="D48" s="8" t="s">
        <v>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6">
        <v>57.0</v>
      </c>
      <c r="C49" s="7">
        <v>45310.0</v>
      </c>
      <c r="D49" s="8" t="s">
        <v>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6">
        <v>48.0</v>
      </c>
      <c r="C50" s="7">
        <v>45310.0</v>
      </c>
      <c r="D50" s="8" t="s">
        <v>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6">
        <v>43.0</v>
      </c>
      <c r="C51" s="7">
        <v>45310.0</v>
      </c>
      <c r="D51" s="12" t="s">
        <v>14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6">
        <v>65.0</v>
      </c>
      <c r="C52" s="7">
        <v>45313.0</v>
      </c>
      <c r="D52" s="12" t="s">
        <v>11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6">
        <v>54.0</v>
      </c>
      <c r="C53" s="7">
        <v>45315.0</v>
      </c>
      <c r="D53" s="8" t="s">
        <v>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6">
        <v>49.0</v>
      </c>
      <c r="C54" s="7">
        <v>45315.0</v>
      </c>
      <c r="D54" s="8" t="s">
        <v>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12">
        <v>36.0</v>
      </c>
      <c r="C55" s="13">
        <v>45315.0</v>
      </c>
      <c r="D55" s="8" t="s">
        <v>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12">
        <v>48.0</v>
      </c>
      <c r="C56" s="13">
        <v>45315.0</v>
      </c>
      <c r="D56" s="8" t="s">
        <v>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12">
        <v>49.0</v>
      </c>
      <c r="C57" s="13">
        <v>45316.0</v>
      </c>
      <c r="D57" s="8" t="s">
        <v>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12">
        <v>42.0</v>
      </c>
      <c r="C58" s="13">
        <v>45317.0</v>
      </c>
      <c r="D58" s="8" t="s">
        <v>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12">
        <v>26.0</v>
      </c>
      <c r="C59" s="13">
        <v>45317.0</v>
      </c>
      <c r="D59" s="8" t="s">
        <v>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12">
        <v>56.0</v>
      </c>
      <c r="C60" s="13">
        <v>45317.0</v>
      </c>
      <c r="D60" s="8" t="s">
        <v>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12">
        <v>49.0</v>
      </c>
      <c r="C61" s="13">
        <v>45317.0</v>
      </c>
      <c r="D61" s="8" t="s">
        <v>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2">
        <v>43.0</v>
      </c>
      <c r="C62" s="13">
        <v>45320.0</v>
      </c>
      <c r="D62" s="8" t="s">
        <v>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12">
        <v>56.0</v>
      </c>
      <c r="C63" s="13">
        <v>45320.0</v>
      </c>
      <c r="D63" s="8" t="s">
        <v>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2">
        <v>45.0</v>
      </c>
      <c r="C64" s="13">
        <v>45320.0</v>
      </c>
      <c r="D64" s="8" t="s">
        <v>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2">
        <v>53.0</v>
      </c>
      <c r="C65" s="13">
        <v>45320.0</v>
      </c>
      <c r="D65" s="8" t="s">
        <v>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2">
        <v>37.0</v>
      </c>
      <c r="C66" s="13">
        <v>45320.0</v>
      </c>
      <c r="D66" s="8" t="s">
        <v>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2">
        <v>47.0</v>
      </c>
      <c r="C67" s="13">
        <v>45321.0</v>
      </c>
      <c r="D67" s="8" t="s">
        <v>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2">
        <v>43.0</v>
      </c>
      <c r="C68" s="13">
        <v>45321.0</v>
      </c>
      <c r="D68" s="12" t="s">
        <v>11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2">
        <v>52.0</v>
      </c>
      <c r="C69" s="13">
        <v>45321.0</v>
      </c>
      <c r="D69" s="8" t="s">
        <v>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2">
        <v>39.0</v>
      </c>
      <c r="C70" s="13">
        <v>45323.0</v>
      </c>
      <c r="D70" s="8" t="s">
        <v>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2">
        <v>41.0</v>
      </c>
      <c r="C71" s="13">
        <v>45323.0</v>
      </c>
      <c r="D71" s="8" t="s">
        <v>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2">
        <v>40.0</v>
      </c>
      <c r="C72" s="13">
        <v>45323.0</v>
      </c>
      <c r="D72" s="8" t="s">
        <v>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2">
        <v>29.0</v>
      </c>
      <c r="C73" s="13">
        <v>45323.0</v>
      </c>
      <c r="D73" s="8" t="s">
        <v>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2">
        <v>47.0</v>
      </c>
      <c r="C74" s="13">
        <v>45324.0</v>
      </c>
      <c r="D74" s="8" t="s">
        <v>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2">
        <v>55.0</v>
      </c>
      <c r="C75" s="13">
        <v>45324.0</v>
      </c>
      <c r="D75" s="8" t="s">
        <v>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2">
        <v>43.0</v>
      </c>
      <c r="C76" s="13">
        <v>45327.0</v>
      </c>
      <c r="D76" s="8" t="s">
        <v>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2">
        <v>39.0</v>
      </c>
      <c r="C77" s="13">
        <v>45327.0</v>
      </c>
      <c r="D77" s="8" t="s">
        <v>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2">
        <v>40.0</v>
      </c>
      <c r="C78" s="13">
        <v>45327.0</v>
      </c>
      <c r="D78" s="8" t="s">
        <v>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2">
        <v>44.0</v>
      </c>
      <c r="C79" s="13">
        <v>45327.0</v>
      </c>
      <c r="D79" s="12" t="s">
        <v>11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2">
        <v>29.0</v>
      </c>
      <c r="C80" s="13">
        <v>45327.0</v>
      </c>
      <c r="D80" s="8" t="s">
        <v>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2">
        <v>57.0</v>
      </c>
      <c r="C81" s="13">
        <v>45327.0</v>
      </c>
      <c r="D81" s="8" t="s">
        <v>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2">
        <v>37.0</v>
      </c>
      <c r="C82" s="13">
        <v>45327.0</v>
      </c>
      <c r="D82" s="8" t="s">
        <v>5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2">
        <v>35.0</v>
      </c>
      <c r="C83" s="13">
        <v>45327.0</v>
      </c>
      <c r="D83" s="8" t="s">
        <v>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2">
        <v>62.0</v>
      </c>
      <c r="C84" s="13">
        <v>45327.0</v>
      </c>
      <c r="D84" s="8" t="s">
        <v>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2">
        <v>34.0</v>
      </c>
      <c r="C85" s="13">
        <v>45328.0</v>
      </c>
      <c r="D85" s="8" t="s">
        <v>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2">
        <v>50.0</v>
      </c>
      <c r="C86" s="13">
        <v>45328.0</v>
      </c>
      <c r="D86" s="8" t="s">
        <v>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2">
        <v>51.0</v>
      </c>
      <c r="C87" s="13">
        <v>45329.0</v>
      </c>
      <c r="D87" s="12" t="s">
        <v>15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2">
        <v>46.0</v>
      </c>
      <c r="C88" s="13">
        <v>45329.0</v>
      </c>
      <c r="D88" s="8" t="s">
        <v>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2">
        <v>49.0</v>
      </c>
      <c r="C89" s="13">
        <v>45329.0</v>
      </c>
      <c r="D89" s="8" t="s">
        <v>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2">
        <v>35.0</v>
      </c>
      <c r="C90" s="13">
        <v>45330.0</v>
      </c>
      <c r="D90" s="8" t="s">
        <v>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2">
        <v>52.0</v>
      </c>
      <c r="C91" s="13">
        <v>45330.0</v>
      </c>
      <c r="D91" s="8" t="s">
        <v>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2">
        <v>55.0</v>
      </c>
      <c r="C92" s="13">
        <v>45330.0</v>
      </c>
      <c r="D92" s="8" t="s">
        <v>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2">
        <v>41.0</v>
      </c>
      <c r="C93" s="13">
        <v>45331.0</v>
      </c>
      <c r="D93" s="8" t="s">
        <v>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2">
        <v>27.0</v>
      </c>
      <c r="C94" s="13">
        <v>45331.0</v>
      </c>
      <c r="D94" s="12" t="s">
        <v>15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2">
        <v>47.0</v>
      </c>
      <c r="C95" s="13">
        <v>45331.0</v>
      </c>
      <c r="D95" s="8" t="s">
        <v>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2">
        <v>46.0</v>
      </c>
      <c r="C96" s="13">
        <v>45336.0</v>
      </c>
      <c r="D96" s="8" t="s">
        <v>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2">
        <v>38.0</v>
      </c>
      <c r="C97" s="13">
        <v>45336.0</v>
      </c>
      <c r="D97" s="8" t="s">
        <v>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2">
        <v>38.0</v>
      </c>
      <c r="C98" s="13">
        <v>45336.0</v>
      </c>
      <c r="D98" s="8" t="s">
        <v>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2">
        <v>47.0</v>
      </c>
      <c r="C99" s="13">
        <v>45337.0</v>
      </c>
      <c r="D99" s="8" t="s">
        <v>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2">
        <v>37.0</v>
      </c>
      <c r="C100" s="13">
        <v>45337.0</v>
      </c>
      <c r="D100" s="12" t="s">
        <v>16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2">
        <v>55.0</v>
      </c>
      <c r="C101" s="13">
        <v>45337.0</v>
      </c>
      <c r="D101" s="8" t="s">
        <v>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2">
        <v>52.0</v>
      </c>
      <c r="C102" s="13">
        <v>45337.0</v>
      </c>
      <c r="D102" s="8" t="s">
        <v>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2">
        <v>39.0</v>
      </c>
      <c r="C103" s="13">
        <v>45337.0</v>
      </c>
      <c r="D103" s="8" t="s">
        <v>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2">
        <v>49.0</v>
      </c>
      <c r="C104" s="13">
        <v>45338.0</v>
      </c>
      <c r="D104" s="8" t="s">
        <v>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2">
        <v>29.0</v>
      </c>
      <c r="C105" s="13">
        <v>45341.0</v>
      </c>
      <c r="D105" s="8" t="s">
        <v>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2">
        <v>43.0</v>
      </c>
      <c r="C106" s="13">
        <v>45341.0</v>
      </c>
      <c r="D106" s="8" t="s">
        <v>5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2">
        <v>44.0</v>
      </c>
      <c r="C107" s="13">
        <v>45341.0</v>
      </c>
      <c r="D107" s="8" t="s">
        <v>5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2">
        <v>27.0</v>
      </c>
      <c r="C108" s="13">
        <v>45341.0</v>
      </c>
      <c r="D108" s="8" t="s">
        <v>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2">
        <v>45.0</v>
      </c>
      <c r="C109" s="13">
        <v>45341.0</v>
      </c>
      <c r="D109" s="8" t="s">
        <v>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2">
        <v>49.0</v>
      </c>
      <c r="C110" s="13">
        <v>45341.0</v>
      </c>
      <c r="D110" s="8" t="s">
        <v>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2">
        <v>45.0</v>
      </c>
      <c r="C111" s="13">
        <v>45342.0</v>
      </c>
      <c r="D111" s="8" t="s">
        <v>5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2">
        <v>45.0</v>
      </c>
      <c r="C112" s="13">
        <v>45342.0</v>
      </c>
      <c r="D112" s="8" t="s">
        <v>5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2">
        <v>48.0</v>
      </c>
      <c r="C113" s="13">
        <v>45342.0</v>
      </c>
      <c r="D113" s="8" t="s">
        <v>5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2">
        <v>55.0</v>
      </c>
      <c r="C114" s="13">
        <v>45342.0</v>
      </c>
      <c r="D114" s="8" t="s">
        <v>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2">
        <v>60.0</v>
      </c>
      <c r="C115" s="13">
        <v>45343.0</v>
      </c>
      <c r="D115" s="8" t="s">
        <v>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2">
        <v>59.0</v>
      </c>
      <c r="C116" s="13">
        <v>45343.0</v>
      </c>
      <c r="D116" s="8" t="s">
        <v>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2">
        <v>43.0</v>
      </c>
      <c r="C117" s="13">
        <v>45344.0</v>
      </c>
      <c r="D117" s="8" t="s">
        <v>5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2">
        <v>42.0</v>
      </c>
      <c r="C118" s="13">
        <v>45344.0</v>
      </c>
      <c r="D118" s="8" t="s">
        <v>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2">
        <v>37.0</v>
      </c>
      <c r="C119" s="13">
        <v>45345.0</v>
      </c>
      <c r="D119" s="8" t="s">
        <v>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2">
        <v>42.0</v>
      </c>
      <c r="C120" s="13">
        <v>45345.0</v>
      </c>
      <c r="D120" s="8" t="s">
        <v>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2">
        <v>48.0</v>
      </c>
      <c r="C121" s="13">
        <v>45345.0</v>
      </c>
      <c r="D121" s="8" t="s">
        <v>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2">
        <v>43.0</v>
      </c>
      <c r="C122" s="13">
        <v>45345.0</v>
      </c>
      <c r="D122" s="8" t="s">
        <v>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2">
        <v>38.0</v>
      </c>
      <c r="C123" s="13">
        <v>45345.0</v>
      </c>
      <c r="D123" s="8" t="s">
        <v>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2">
        <v>56.0</v>
      </c>
      <c r="C124" s="13">
        <v>45348.0</v>
      </c>
      <c r="D124" s="8" t="s">
        <v>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2">
        <v>35.0</v>
      </c>
      <c r="C125" s="13">
        <v>45348.0</v>
      </c>
      <c r="D125" s="8" t="s">
        <v>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2">
        <v>52.0</v>
      </c>
      <c r="C126" s="13">
        <v>45349.0</v>
      </c>
      <c r="D126" s="8" t="s">
        <v>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2">
        <v>45.0</v>
      </c>
      <c r="C127" s="13">
        <v>45349.0</v>
      </c>
      <c r="D127" s="8" t="s">
        <v>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2">
        <v>51.0</v>
      </c>
      <c r="C128" s="13">
        <v>45350.0</v>
      </c>
      <c r="D128" s="8" t="s">
        <v>5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2">
        <v>45.0</v>
      </c>
      <c r="C129" s="13">
        <v>45350.0</v>
      </c>
      <c r="D129" s="8" t="s">
        <v>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2">
        <v>58.0</v>
      </c>
      <c r="C130" s="13">
        <v>45351.0</v>
      </c>
      <c r="D130" s="8" t="s">
        <v>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2">
        <v>44.0</v>
      </c>
      <c r="C131" s="13">
        <v>45351.0</v>
      </c>
      <c r="D131" s="8" t="s">
        <v>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2">
        <v>54.0</v>
      </c>
      <c r="C132" s="13">
        <v>45351.0</v>
      </c>
      <c r="D132" s="8" t="s">
        <v>5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2">
        <v>64.0</v>
      </c>
      <c r="C133" s="13">
        <v>45352.0</v>
      </c>
      <c r="D133" s="8" t="s">
        <v>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2">
        <v>44.0</v>
      </c>
      <c r="C134" s="13">
        <v>45352.0</v>
      </c>
      <c r="D134" s="8" t="s">
        <v>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2">
        <v>31.0</v>
      </c>
      <c r="C135" s="13">
        <v>45355.0</v>
      </c>
      <c r="D135" s="8" t="s">
        <v>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2">
        <v>42.0</v>
      </c>
      <c r="C136" s="13">
        <v>45355.0</v>
      </c>
      <c r="D136" s="8" t="s">
        <v>5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2">
        <v>46.0</v>
      </c>
      <c r="C137" s="13">
        <v>45356.0</v>
      </c>
      <c r="D137" s="8" t="s">
        <v>5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2">
        <v>45.0</v>
      </c>
      <c r="C138" s="13">
        <v>45356.0</v>
      </c>
      <c r="D138" s="8" t="s">
        <v>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2">
        <v>54.0</v>
      </c>
      <c r="C139" s="13">
        <v>45356.0</v>
      </c>
      <c r="D139" s="8" t="s">
        <v>5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2">
        <v>49.0</v>
      </c>
      <c r="C140" s="13">
        <v>45357.0</v>
      </c>
      <c r="D140" s="8" t="s">
        <v>5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2">
        <v>61.0</v>
      </c>
      <c r="C141" s="13">
        <v>45357.0</v>
      </c>
      <c r="D141" s="8" t="s">
        <v>5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2">
        <v>63.0</v>
      </c>
      <c r="C142" s="13">
        <v>45357.0</v>
      </c>
      <c r="D142" s="8" t="s">
        <v>5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2">
        <v>49.0</v>
      </c>
      <c r="C143" s="13">
        <v>45357.0</v>
      </c>
      <c r="D143" s="8" t="s">
        <v>5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2">
        <v>50.0</v>
      </c>
      <c r="C144" s="13">
        <v>45357.0</v>
      </c>
      <c r="D144" s="8" t="s">
        <v>5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2">
        <v>46.0</v>
      </c>
      <c r="C145" s="13">
        <v>45357.0</v>
      </c>
      <c r="D145" s="12" t="s">
        <v>13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2">
        <v>45.0</v>
      </c>
      <c r="C146" s="13">
        <v>45358.0</v>
      </c>
      <c r="D146" s="8" t="s">
        <v>5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2">
        <v>49.0</v>
      </c>
      <c r="C147" s="13">
        <v>45358.0</v>
      </c>
      <c r="D147" s="8" t="s">
        <v>5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2">
        <v>28.0</v>
      </c>
      <c r="C148" s="13">
        <v>45358.0</v>
      </c>
      <c r="D148" s="8" t="s">
        <v>5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2">
        <v>45.0</v>
      </c>
      <c r="C149" s="13">
        <v>45358.0</v>
      </c>
      <c r="D149" s="8" t="s">
        <v>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2">
        <v>31.0</v>
      </c>
      <c r="C150" s="13">
        <v>45358.0</v>
      </c>
      <c r="D150" s="8" t="s">
        <v>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2">
        <v>60.0</v>
      </c>
      <c r="C151" s="13">
        <v>45358.0</v>
      </c>
      <c r="D151" s="12" t="s">
        <v>14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2">
        <v>57.0</v>
      </c>
      <c r="C152" s="13">
        <v>45358.0</v>
      </c>
      <c r="D152" s="8" t="s">
        <v>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2">
        <v>61.0</v>
      </c>
      <c r="C153" s="13">
        <v>45359.0</v>
      </c>
      <c r="D153" s="8" t="s">
        <v>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2">
        <v>63.0</v>
      </c>
      <c r="C154" s="13">
        <v>45359.0</v>
      </c>
      <c r="D154" s="8" t="s">
        <v>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2">
        <v>37.0</v>
      </c>
      <c r="C155" s="13">
        <v>45359.0</v>
      </c>
      <c r="D155" s="8" t="s">
        <v>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2">
        <v>50.0</v>
      </c>
      <c r="C156" s="13">
        <v>45362.0</v>
      </c>
      <c r="D156" s="12" t="s">
        <v>15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2">
        <v>56.0</v>
      </c>
      <c r="C157" s="13">
        <v>45362.0</v>
      </c>
      <c r="D157" s="8" t="s">
        <v>5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2">
        <v>61.0</v>
      </c>
      <c r="C158" s="13">
        <v>45362.0</v>
      </c>
      <c r="D158" s="8" t="s">
        <v>5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2">
        <v>42.0</v>
      </c>
      <c r="C159" s="13">
        <v>45362.0</v>
      </c>
      <c r="D159" s="8" t="s">
        <v>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2">
        <v>60.0</v>
      </c>
      <c r="C160" s="13">
        <v>45362.0</v>
      </c>
      <c r="D160" s="8" t="s">
        <v>5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2">
        <v>43.0</v>
      </c>
      <c r="C161" s="13">
        <v>45362.0</v>
      </c>
      <c r="D161" s="8" t="s">
        <v>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2">
        <v>50.0</v>
      </c>
      <c r="C162" s="13">
        <v>45363.0</v>
      </c>
      <c r="D162" s="8" t="s">
        <v>5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2">
        <v>31.0</v>
      </c>
      <c r="C163" s="13">
        <v>45364.0</v>
      </c>
      <c r="D163" s="8" t="s">
        <v>5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2">
        <v>41.0</v>
      </c>
      <c r="C164" s="13">
        <v>45364.0</v>
      </c>
      <c r="D164" s="8" t="s">
        <v>5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2">
        <v>43.0</v>
      </c>
      <c r="C165" s="13">
        <v>45365.0</v>
      </c>
      <c r="D165" s="8" t="s">
        <v>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2">
        <v>26.0</v>
      </c>
      <c r="C166" s="13">
        <v>45365.0</v>
      </c>
      <c r="D166" s="8" t="s">
        <v>5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2">
        <v>53.0</v>
      </c>
      <c r="C167" s="13">
        <v>45365.0</v>
      </c>
      <c r="D167" s="8" t="s">
        <v>5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2">
        <v>30.0</v>
      </c>
      <c r="C168" s="13">
        <v>45365.0</v>
      </c>
      <c r="D168" s="8" t="s">
        <v>5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2">
        <v>42.0</v>
      </c>
      <c r="C169" s="13">
        <v>45365.0</v>
      </c>
      <c r="D169" s="8" t="s">
        <v>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2">
        <v>56.0</v>
      </c>
      <c r="C170" s="13">
        <v>45365.0</v>
      </c>
      <c r="D170" s="8" t="s">
        <v>5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2">
        <v>56.0</v>
      </c>
      <c r="C171" s="13">
        <v>45365.0</v>
      </c>
      <c r="D171" s="8" t="s">
        <v>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2">
        <v>40.0</v>
      </c>
      <c r="C172" s="13">
        <v>45365.0</v>
      </c>
      <c r="D172" s="8" t="s">
        <v>5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2">
        <v>59.0</v>
      </c>
      <c r="C173" s="13">
        <v>45366.0</v>
      </c>
      <c r="D173" s="8" t="s">
        <v>5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2">
        <v>44.0</v>
      </c>
      <c r="C174" s="13">
        <v>45366.0</v>
      </c>
      <c r="D174" s="8" t="s">
        <v>5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2">
        <v>42.0</v>
      </c>
      <c r="C175" s="13">
        <v>45371.0</v>
      </c>
      <c r="D175" s="8" t="s">
        <v>5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2">
        <v>51.0</v>
      </c>
      <c r="C176" s="13">
        <v>45371.0</v>
      </c>
      <c r="D176" s="8" t="s">
        <v>5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2">
        <v>50.0</v>
      </c>
      <c r="C177" s="13">
        <v>45372.0</v>
      </c>
      <c r="D177" s="8" t="s">
        <v>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2">
        <v>47.0</v>
      </c>
      <c r="C178" s="13">
        <v>45372.0</v>
      </c>
      <c r="D178" s="8" t="s">
        <v>5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2">
        <v>45.0</v>
      </c>
      <c r="C179" s="13">
        <v>45372.0</v>
      </c>
      <c r="D179" s="12" t="s">
        <v>15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2">
        <v>55.0</v>
      </c>
      <c r="C180" s="13">
        <v>45373.0</v>
      </c>
      <c r="D180" s="8" t="s">
        <v>5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2">
        <v>32.0</v>
      </c>
      <c r="C181" s="13">
        <v>45373.0</v>
      </c>
      <c r="D181" s="8" t="s">
        <v>5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2">
        <v>66.0</v>
      </c>
      <c r="C182" s="13">
        <v>45373.0</v>
      </c>
      <c r="D182" s="8" t="s">
        <v>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2">
        <v>38.0</v>
      </c>
      <c r="C183" s="13">
        <v>45373.0</v>
      </c>
      <c r="D183" s="8" t="s">
        <v>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2">
        <v>37.0</v>
      </c>
      <c r="C184" s="13">
        <v>45376.0</v>
      </c>
      <c r="D184" s="8" t="s">
        <v>5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2">
        <v>64.0</v>
      </c>
      <c r="C185" s="13">
        <v>45376.0</v>
      </c>
      <c r="D185" s="12" t="s">
        <v>13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2">
        <v>39.0</v>
      </c>
      <c r="C186" s="13">
        <v>45376.0</v>
      </c>
      <c r="D186" s="8" t="s">
        <v>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2">
        <v>41.0</v>
      </c>
      <c r="C187" s="13">
        <v>45376.0</v>
      </c>
      <c r="D187" s="8" t="s">
        <v>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2">
        <v>42.0</v>
      </c>
      <c r="C188" s="13">
        <v>45376.0</v>
      </c>
      <c r="D188" s="8" t="s">
        <v>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2">
        <v>43.0</v>
      </c>
      <c r="C189" s="13">
        <v>45377.0</v>
      </c>
      <c r="D189" s="8" t="s">
        <v>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2">
        <v>36.0</v>
      </c>
      <c r="C190" s="13">
        <v>45377.0</v>
      </c>
      <c r="D190" s="8" t="s">
        <v>5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2">
        <v>57.0</v>
      </c>
      <c r="C191" s="13">
        <v>45378.0</v>
      </c>
      <c r="D191" s="8" t="s">
        <v>5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2">
        <v>54.0</v>
      </c>
      <c r="C192" s="13">
        <v>45378.0</v>
      </c>
      <c r="D192" s="8" t="s">
        <v>5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2">
        <v>48.0</v>
      </c>
      <c r="C193" s="13">
        <v>45379.0</v>
      </c>
      <c r="D193" s="8" t="s">
        <v>5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2">
        <v>31.0</v>
      </c>
      <c r="C194" s="13">
        <v>45379.0</v>
      </c>
      <c r="D194" s="8" t="s">
        <v>5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2">
        <v>51.0</v>
      </c>
      <c r="C195" s="13">
        <v>45383.0</v>
      </c>
      <c r="D195" s="8" t="s">
        <v>5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2">
        <v>58.0</v>
      </c>
      <c r="C196" s="13">
        <v>45384.0</v>
      </c>
      <c r="D196" s="8" t="s">
        <v>5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2">
        <v>40.0</v>
      </c>
      <c r="C197" s="13">
        <v>45384.0</v>
      </c>
      <c r="D197" s="8" t="s">
        <v>5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2">
        <v>45.0</v>
      </c>
      <c r="C198" s="13">
        <v>45384.0</v>
      </c>
      <c r="D198" s="8" t="s">
        <v>5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2">
        <v>60.0</v>
      </c>
      <c r="C199" s="13">
        <v>45385.0</v>
      </c>
      <c r="D199" s="12" t="s">
        <v>12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2">
        <v>53.0</v>
      </c>
      <c r="C200" s="13">
        <v>45385.0</v>
      </c>
      <c r="D200" s="12" t="s">
        <v>14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2">
        <v>52.0</v>
      </c>
      <c r="C201" s="13">
        <v>45385.0</v>
      </c>
      <c r="D201" s="8" t="s">
        <v>5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2">
        <v>35.0</v>
      </c>
      <c r="C202" s="13">
        <v>45386.0</v>
      </c>
      <c r="D202" s="8" t="s">
        <v>5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2">
        <v>31.0</v>
      </c>
      <c r="C203" s="13">
        <v>45386.0</v>
      </c>
      <c r="D203" s="8" t="s">
        <v>5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2">
        <v>53.0</v>
      </c>
      <c r="C204" s="13">
        <v>45386.0</v>
      </c>
      <c r="D204" s="12" t="s">
        <v>15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2">
        <v>30.0</v>
      </c>
      <c r="C205" s="13">
        <v>45387.0</v>
      </c>
      <c r="D205" s="8" t="s">
        <v>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2">
        <v>31.0</v>
      </c>
      <c r="C206" s="13">
        <v>45387.0</v>
      </c>
      <c r="D206" s="8" t="s">
        <v>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2">
        <v>56.0</v>
      </c>
      <c r="C207" s="13">
        <v>45387.0</v>
      </c>
      <c r="D207" s="8" t="s">
        <v>5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2">
        <v>28.0</v>
      </c>
      <c r="C208" s="13">
        <v>45387.0</v>
      </c>
      <c r="D208" s="8" t="s">
        <v>5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2">
        <v>32.0</v>
      </c>
      <c r="C209" s="13">
        <v>45387.0</v>
      </c>
      <c r="D209" s="8" t="s">
        <v>5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2">
        <v>42.0</v>
      </c>
      <c r="C210" s="13">
        <v>45390.0</v>
      </c>
      <c r="D210" s="8" t="s">
        <v>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2">
        <v>62.0</v>
      </c>
      <c r="C211" s="13">
        <v>45390.0</v>
      </c>
      <c r="D211" s="8" t="s">
        <v>5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2">
        <v>60.0</v>
      </c>
      <c r="C212" s="13">
        <v>45390.0</v>
      </c>
      <c r="D212" s="8" t="s">
        <v>5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2">
        <v>55.0</v>
      </c>
      <c r="C213" s="13">
        <v>45391.0</v>
      </c>
      <c r="D213" s="8" t="s">
        <v>5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2">
        <v>43.0</v>
      </c>
      <c r="C214" s="13">
        <v>45392.0</v>
      </c>
      <c r="D214" s="8" t="s">
        <v>5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2">
        <v>40.0</v>
      </c>
      <c r="C215" s="13">
        <v>45392.0</v>
      </c>
      <c r="D215" s="8" t="s">
        <v>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2">
        <v>40.0</v>
      </c>
      <c r="C216" s="13">
        <v>45392.0</v>
      </c>
      <c r="D216" s="8" t="s">
        <v>5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2">
        <v>45.0</v>
      </c>
      <c r="C217" s="13">
        <v>45392.0</v>
      </c>
      <c r="D217" s="8" t="s">
        <v>5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2">
        <v>30.0</v>
      </c>
      <c r="C218" s="13">
        <v>45393.0</v>
      </c>
      <c r="D218" s="8" t="s">
        <v>5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2">
        <v>46.0</v>
      </c>
      <c r="C219" s="13">
        <v>45393.0</v>
      </c>
      <c r="D219" s="12" t="s">
        <v>13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2">
        <v>36.0</v>
      </c>
      <c r="C220" s="13">
        <v>45393.0</v>
      </c>
      <c r="D220" s="8" t="s">
        <v>5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12">
        <v>32.0</v>
      </c>
      <c r="C221" s="13">
        <v>45393.0</v>
      </c>
      <c r="D221" s="12" t="s">
        <v>15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12">
        <v>43.0</v>
      </c>
      <c r="C222" s="13">
        <v>45393.0</v>
      </c>
      <c r="D222" s="8" t="s">
        <v>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12">
        <v>50.0</v>
      </c>
      <c r="C223" s="13">
        <v>45394.0</v>
      </c>
      <c r="D223" s="8" t="s">
        <v>5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12">
        <v>50.0</v>
      </c>
      <c r="C224" s="13">
        <v>45394.0</v>
      </c>
      <c r="D224" s="8" t="s">
        <v>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12">
        <v>33.0</v>
      </c>
      <c r="C225" s="13">
        <v>45394.0</v>
      </c>
      <c r="D225" s="8" t="s">
        <v>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12">
        <v>32.0</v>
      </c>
      <c r="C226" s="13">
        <v>45397.0</v>
      </c>
      <c r="D226" s="12" t="s">
        <v>11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12">
        <v>48.0</v>
      </c>
      <c r="C227" s="13">
        <v>45397.0</v>
      </c>
      <c r="D227" s="8" t="s">
        <v>5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12">
        <v>46.0</v>
      </c>
      <c r="C228" s="13">
        <v>45397.0</v>
      </c>
      <c r="D228" s="8" t="s">
        <v>5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12">
        <v>54.0</v>
      </c>
      <c r="C229" s="13">
        <v>45397.0</v>
      </c>
      <c r="D229" s="8" t="s">
        <v>5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12">
        <v>31.0</v>
      </c>
      <c r="C230" s="13">
        <v>45397.0</v>
      </c>
      <c r="D230" s="12" t="s">
        <v>11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12">
        <v>51.0</v>
      </c>
      <c r="C231" s="13">
        <v>45398.0</v>
      </c>
      <c r="D231" s="8" t="s">
        <v>5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12">
        <v>58.0</v>
      </c>
      <c r="C232" s="13">
        <v>45398.0</v>
      </c>
      <c r="D232" s="8" t="s">
        <v>5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12">
        <v>50.0</v>
      </c>
      <c r="C233" s="13">
        <v>45398.0</v>
      </c>
      <c r="D233" s="8" t="s">
        <v>5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12">
        <v>64.0</v>
      </c>
      <c r="C234" s="13">
        <v>45399.0</v>
      </c>
      <c r="D234" s="8" t="s">
        <v>5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12">
        <v>37.0</v>
      </c>
      <c r="C235" s="13">
        <v>45399.0</v>
      </c>
      <c r="D235" s="8" t="s">
        <v>5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12">
        <v>41.0</v>
      </c>
      <c r="C236" s="13">
        <v>45399.0</v>
      </c>
      <c r="D236" s="8" t="s">
        <v>5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12">
        <v>49.0</v>
      </c>
      <c r="C237" s="13">
        <v>45399.0</v>
      </c>
      <c r="D237" s="8" t="s">
        <v>5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12">
        <v>27.0</v>
      </c>
      <c r="C238" s="13">
        <v>45399.0</v>
      </c>
      <c r="D238" s="12" t="s">
        <v>13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12">
        <v>40.0</v>
      </c>
      <c r="C239" s="13">
        <v>45399.0</v>
      </c>
      <c r="D239" s="8" t="s">
        <v>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12">
        <v>54.0</v>
      </c>
      <c r="C240" s="13">
        <v>45399.0</v>
      </c>
      <c r="D240" s="8" t="s">
        <v>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12">
        <v>53.0</v>
      </c>
      <c r="C241" s="13">
        <v>45399.0</v>
      </c>
      <c r="D241" s="8" t="s">
        <v>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12">
        <v>50.0</v>
      </c>
      <c r="C242" s="13">
        <v>45400.0</v>
      </c>
      <c r="D242" s="8" t="s">
        <v>5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12">
        <v>38.0</v>
      </c>
      <c r="C243" s="13">
        <v>45400.0</v>
      </c>
      <c r="D243" s="8" t="s">
        <v>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12">
        <v>46.0</v>
      </c>
      <c r="C244" s="13">
        <v>45400.0</v>
      </c>
      <c r="D244" s="8" t="s">
        <v>5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12">
        <v>52.0</v>
      </c>
      <c r="C245" s="13">
        <v>45400.0</v>
      </c>
      <c r="D245" s="12" t="s">
        <v>11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12">
        <v>43.0</v>
      </c>
      <c r="C246" s="13">
        <v>45401.0</v>
      </c>
      <c r="D246" s="8" t="s">
        <v>5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12">
        <v>57.0</v>
      </c>
      <c r="C247" s="13">
        <v>45401.0</v>
      </c>
      <c r="D247" s="8" t="s">
        <v>5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12">
        <v>56.0</v>
      </c>
      <c r="C248" s="13">
        <v>45401.0</v>
      </c>
      <c r="D248" s="8" t="s">
        <v>5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12">
        <v>60.0</v>
      </c>
      <c r="C249" s="13">
        <v>45401.0</v>
      </c>
      <c r="D249" s="8" t="s">
        <v>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12">
        <v>33.0</v>
      </c>
      <c r="C250" s="13">
        <v>45404.0</v>
      </c>
      <c r="D250" s="8" t="s">
        <v>5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12">
        <v>56.0</v>
      </c>
      <c r="C251" s="13">
        <v>45404.0</v>
      </c>
      <c r="D251" s="8" t="s">
        <v>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12">
        <v>27.0</v>
      </c>
      <c r="C252" s="13">
        <v>45405.0</v>
      </c>
      <c r="D252" s="12" t="s">
        <v>11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12">
        <v>33.0</v>
      </c>
      <c r="C253" s="13">
        <v>45405.0</v>
      </c>
      <c r="D253" s="8" t="s">
        <v>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12">
        <v>62.0</v>
      </c>
      <c r="C254" s="13">
        <v>45405.0</v>
      </c>
      <c r="D254" s="8" t="s">
        <v>5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12">
        <v>53.0</v>
      </c>
      <c r="C255" s="13">
        <v>45405.0</v>
      </c>
      <c r="D255" s="8" t="s">
        <v>5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12">
        <v>62.0</v>
      </c>
      <c r="C256" s="13">
        <v>45406.0</v>
      </c>
      <c r="D256" s="8" t="s">
        <v>5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12">
        <v>42.0</v>
      </c>
      <c r="C257" s="13">
        <v>45406.0</v>
      </c>
      <c r="D257" s="12" t="s">
        <v>14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12">
        <v>51.0</v>
      </c>
      <c r="C258" s="13">
        <v>45406.0</v>
      </c>
      <c r="D258" s="8" t="s">
        <v>5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12">
        <v>64.0</v>
      </c>
      <c r="C259" s="13">
        <v>45406.0</v>
      </c>
      <c r="D259" s="8" t="s">
        <v>5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12">
        <v>44.0</v>
      </c>
      <c r="C260" s="13">
        <v>45406.0</v>
      </c>
      <c r="D260" s="8" t="s">
        <v>5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12">
        <v>53.0</v>
      </c>
      <c r="C261" s="13">
        <v>45406.0</v>
      </c>
      <c r="D261" s="8" t="s">
        <v>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12">
        <v>44.0</v>
      </c>
      <c r="C262" s="13">
        <v>45406.0</v>
      </c>
      <c r="D262" s="8" t="s">
        <v>5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12">
        <v>59.0</v>
      </c>
      <c r="C263" s="13">
        <v>45407.0</v>
      </c>
      <c r="D263" s="8" t="s">
        <v>5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12">
        <v>53.0</v>
      </c>
      <c r="C264" s="13">
        <v>45407.0</v>
      </c>
      <c r="D264" s="8" t="s">
        <v>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12">
        <v>40.0</v>
      </c>
      <c r="C265" s="13">
        <v>45407.0</v>
      </c>
      <c r="D265" s="8" t="s">
        <v>13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12">
        <v>33.0</v>
      </c>
      <c r="C266" s="13">
        <v>45407.0</v>
      </c>
      <c r="D266" s="8" t="s">
        <v>5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12">
        <v>45.0</v>
      </c>
      <c r="C267" s="13">
        <v>45407.0</v>
      </c>
      <c r="D267" s="8" t="s">
        <v>5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12">
        <v>44.0</v>
      </c>
      <c r="C268" s="13">
        <v>45407.0</v>
      </c>
      <c r="D268" s="8" t="s">
        <v>5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12">
        <v>35.0</v>
      </c>
      <c r="C269" s="13">
        <v>45408.0</v>
      </c>
      <c r="D269" s="12" t="s">
        <v>11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12">
        <v>52.0</v>
      </c>
      <c r="C270" s="13">
        <v>45408.0</v>
      </c>
      <c r="D270" s="8" t="s">
        <v>5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12">
        <v>50.0</v>
      </c>
      <c r="C271" s="13">
        <v>45408.0</v>
      </c>
      <c r="D271" s="8" t="s">
        <v>5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12">
        <v>30.0</v>
      </c>
      <c r="C272" s="13">
        <v>45408.0</v>
      </c>
      <c r="D272" s="12" t="s">
        <v>15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12">
        <v>52.0</v>
      </c>
      <c r="C273" s="13">
        <v>45411.0</v>
      </c>
      <c r="D273" s="8" t="s">
        <v>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12">
        <v>48.0</v>
      </c>
      <c r="C274" s="13">
        <v>45411.0</v>
      </c>
      <c r="D274" s="8" t="s">
        <v>5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12">
        <v>39.0</v>
      </c>
      <c r="C275" s="13">
        <v>45411.0</v>
      </c>
      <c r="D275" s="8" t="s">
        <v>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12">
        <v>44.0</v>
      </c>
      <c r="C276" s="13">
        <v>45411.0</v>
      </c>
      <c r="D276" s="8" t="s">
        <v>5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12">
        <v>39.0</v>
      </c>
      <c r="C277" s="13">
        <v>45411.0</v>
      </c>
      <c r="D277" s="8" t="s">
        <v>5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12">
        <v>26.0</v>
      </c>
      <c r="C278" s="13">
        <v>45411.0</v>
      </c>
      <c r="D278" s="12" t="s">
        <v>11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12">
        <v>47.0</v>
      </c>
      <c r="C279" s="13">
        <v>45411.0</v>
      </c>
      <c r="D279" s="8" t="s">
        <v>5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12">
        <v>41.0</v>
      </c>
      <c r="C280" s="13">
        <v>45412.0</v>
      </c>
      <c r="D280" s="8" t="s">
        <v>5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12">
        <v>50.0</v>
      </c>
      <c r="C281" s="13">
        <v>45412.0</v>
      </c>
      <c r="D281" s="8" t="s">
        <v>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12">
        <v>52.0</v>
      </c>
      <c r="C282" s="13">
        <v>45412.0</v>
      </c>
      <c r="D282" s="8" t="s">
        <v>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12">
        <v>57.0</v>
      </c>
      <c r="C283" s="13">
        <v>45412.0</v>
      </c>
      <c r="D283" s="8" t="s">
        <v>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12">
        <v>66.0</v>
      </c>
      <c r="C284" s="13">
        <v>45412.0</v>
      </c>
      <c r="D284" s="12" t="s">
        <v>14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12">
        <v>64.0</v>
      </c>
      <c r="C285" s="13">
        <v>45412.0</v>
      </c>
      <c r="D285" s="8" t="s">
        <v>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12">
        <v>54.0</v>
      </c>
      <c r="C286" s="13">
        <v>45414.0</v>
      </c>
      <c r="D286" s="8" t="s">
        <v>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12">
        <v>31.0</v>
      </c>
      <c r="C287" s="13">
        <v>45414.0</v>
      </c>
      <c r="D287" s="8" t="s">
        <v>5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12">
        <v>38.0</v>
      </c>
      <c r="C288" s="13">
        <v>45414.0</v>
      </c>
      <c r="D288" s="8" t="s">
        <v>5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12">
        <v>44.0</v>
      </c>
      <c r="C289" s="13">
        <v>45414.0</v>
      </c>
      <c r="D289" s="8" t="s">
        <v>5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12">
        <v>26.0</v>
      </c>
      <c r="C290" s="13">
        <v>45415.0</v>
      </c>
      <c r="D290" s="8" t="s">
        <v>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12">
        <v>30.0</v>
      </c>
      <c r="C291" s="13">
        <v>45415.0</v>
      </c>
      <c r="D291" s="8" t="s">
        <v>5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12">
        <v>43.0</v>
      </c>
      <c r="C292" s="13">
        <v>45418.0</v>
      </c>
      <c r="D292" s="8" t="s">
        <v>5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12">
        <v>58.0</v>
      </c>
      <c r="C293" s="13">
        <v>45418.0</v>
      </c>
      <c r="D293" s="8" t="s">
        <v>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12">
        <v>57.0</v>
      </c>
      <c r="C294" s="13">
        <v>45418.0</v>
      </c>
      <c r="D294" s="8" t="s">
        <v>5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12">
        <v>29.0</v>
      </c>
      <c r="C295" s="13">
        <v>45418.0</v>
      </c>
      <c r="D295" s="8" t="s">
        <v>5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12">
        <v>41.0</v>
      </c>
      <c r="C296" s="13">
        <v>45419.0</v>
      </c>
      <c r="D296" s="8" t="s">
        <v>5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12">
        <v>65.0</v>
      </c>
      <c r="C297" s="13">
        <v>45419.0</v>
      </c>
      <c r="D297" s="8" t="s">
        <v>5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12">
        <v>61.0</v>
      </c>
      <c r="C298" s="13">
        <v>45419.0</v>
      </c>
      <c r="D298" s="8" t="s">
        <v>5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12">
        <v>58.0</v>
      </c>
      <c r="C299" s="13">
        <v>45419.0</v>
      </c>
      <c r="D299" s="8" t="s">
        <v>5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12">
        <v>44.0</v>
      </c>
      <c r="C300" s="13">
        <v>45419.0</v>
      </c>
      <c r="D300" s="8" t="s">
        <v>5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12">
        <v>38.0</v>
      </c>
      <c r="C301" s="13">
        <v>45419.0</v>
      </c>
      <c r="D301" s="8" t="s">
        <v>5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12">
        <v>54.0</v>
      </c>
      <c r="C302" s="13">
        <v>45420.0</v>
      </c>
      <c r="D302" s="8" t="s">
        <v>5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12">
        <v>42.0</v>
      </c>
      <c r="C303" s="13">
        <v>45421.0</v>
      </c>
      <c r="D303" s="8" t="s">
        <v>5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12">
        <v>60.0</v>
      </c>
      <c r="C304" s="13">
        <v>45421.0</v>
      </c>
      <c r="D304" s="8" t="s">
        <v>5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12">
        <v>52.0</v>
      </c>
      <c r="C305" s="13">
        <v>45421.0</v>
      </c>
      <c r="D305" s="8" t="s">
        <v>5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12">
        <v>48.0</v>
      </c>
      <c r="C306" s="13">
        <v>45421.0</v>
      </c>
      <c r="D306" s="8" t="s">
        <v>5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12">
        <v>50.0</v>
      </c>
      <c r="C307" s="13">
        <v>45421.0</v>
      </c>
      <c r="D307" s="8" t="s">
        <v>5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12">
        <v>26.0</v>
      </c>
      <c r="C308" s="13">
        <v>45421.0</v>
      </c>
      <c r="D308" s="8" t="s">
        <v>5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12">
        <v>55.0</v>
      </c>
      <c r="C309" s="13">
        <v>45422.0</v>
      </c>
      <c r="D309" s="8" t="s">
        <v>5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12">
        <v>44.0</v>
      </c>
      <c r="C310" s="13">
        <v>45422.0</v>
      </c>
      <c r="D310" s="8" t="s">
        <v>5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12">
        <v>35.0</v>
      </c>
      <c r="C311" s="13">
        <v>45422.0</v>
      </c>
      <c r="D311" s="8" t="s">
        <v>5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12">
        <v>61.0</v>
      </c>
      <c r="C312" s="13">
        <v>45422.0</v>
      </c>
      <c r="D312" s="8" t="s">
        <v>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12">
        <v>35.0</v>
      </c>
      <c r="C313" s="13">
        <v>45422.0</v>
      </c>
      <c r="D313" s="8" t="s">
        <v>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12">
        <v>38.0</v>
      </c>
      <c r="C314" s="13">
        <v>45422.0</v>
      </c>
      <c r="D314" s="8" t="s">
        <v>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12">
        <v>60.0</v>
      </c>
      <c r="C315" s="13">
        <v>45422.0</v>
      </c>
      <c r="D315" s="8" t="s">
        <v>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12">
        <v>51.0</v>
      </c>
      <c r="C316" s="13">
        <v>45422.0</v>
      </c>
      <c r="D316" s="8" t="s">
        <v>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12">
        <v>30.0</v>
      </c>
      <c r="C317" s="13">
        <v>45425.0</v>
      </c>
      <c r="D317" s="8" t="s">
        <v>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12">
        <v>52.0</v>
      </c>
      <c r="C318" s="13">
        <v>45425.0</v>
      </c>
      <c r="D318" s="8" t="s">
        <v>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12">
        <v>47.0</v>
      </c>
      <c r="C319" s="13">
        <v>45425.0</v>
      </c>
      <c r="D319" s="8" t="s">
        <v>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12">
        <v>44.0</v>
      </c>
      <c r="C320" s="13">
        <v>45426.0</v>
      </c>
      <c r="D320" s="8" t="s">
        <v>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12">
        <v>64.0</v>
      </c>
      <c r="C321" s="13">
        <v>45426.0</v>
      </c>
      <c r="D321" s="8" t="s">
        <v>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12">
        <v>49.0</v>
      </c>
      <c r="C322" s="13">
        <v>45428.0</v>
      </c>
      <c r="D322" s="8" t="s">
        <v>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12">
        <v>37.0</v>
      </c>
      <c r="C323" s="13">
        <v>45428.0</v>
      </c>
      <c r="D323" s="8" t="s">
        <v>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12">
        <v>35.0</v>
      </c>
      <c r="C324" s="13">
        <v>45428.0</v>
      </c>
      <c r="D324" s="8" t="s">
        <v>13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12">
        <v>27.0</v>
      </c>
      <c r="C325" s="13">
        <v>45428.0</v>
      </c>
      <c r="D325" s="12" t="s">
        <v>11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12">
        <v>60.0</v>
      </c>
      <c r="C326" s="13">
        <v>45428.0</v>
      </c>
      <c r="D326" s="8" t="s">
        <v>5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12">
        <v>26.0</v>
      </c>
      <c r="C327" s="13">
        <v>45428.0</v>
      </c>
      <c r="D327" s="8" t="s">
        <v>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12">
        <v>45.0</v>
      </c>
      <c r="C328" s="13">
        <v>45429.0</v>
      </c>
      <c r="D328" s="8" t="s">
        <v>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12">
        <v>43.0</v>
      </c>
      <c r="C329" s="13">
        <v>45429.0</v>
      </c>
      <c r="D329" s="8" t="s">
        <v>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12">
        <v>49.0</v>
      </c>
      <c r="C330" s="13">
        <v>45429.0</v>
      </c>
      <c r="D330" s="8" t="s">
        <v>5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12">
        <v>36.0</v>
      </c>
      <c r="C331" s="13">
        <v>45429.0</v>
      </c>
      <c r="D331" s="8" t="s">
        <v>5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12">
        <v>37.0</v>
      </c>
      <c r="C332" s="13">
        <v>45429.0</v>
      </c>
      <c r="D332" s="8" t="s">
        <v>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12">
        <v>59.0</v>
      </c>
      <c r="C333" s="13">
        <v>45432.0</v>
      </c>
      <c r="D333" s="8" t="s">
        <v>5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12">
        <v>32.0</v>
      </c>
      <c r="C334" s="13">
        <v>45432.0</v>
      </c>
      <c r="D334" s="8" t="s">
        <v>5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12">
        <v>27.0</v>
      </c>
      <c r="C335" s="13">
        <v>45433.0</v>
      </c>
      <c r="D335" s="8" t="s">
        <v>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12">
        <v>42.0</v>
      </c>
      <c r="C336" s="13">
        <v>45433.0</v>
      </c>
      <c r="D336" s="8" t="s">
        <v>5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12">
        <v>53.0</v>
      </c>
      <c r="C337" s="13">
        <v>45433.0</v>
      </c>
      <c r="D337" s="8" t="s">
        <v>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12">
        <v>54.0</v>
      </c>
      <c r="C338" s="13">
        <v>45433.0</v>
      </c>
      <c r="D338" s="8" t="s">
        <v>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12">
        <v>60.0</v>
      </c>
      <c r="C339" s="13">
        <v>45433.0</v>
      </c>
      <c r="D339" s="8" t="s">
        <v>5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12">
        <v>45.0</v>
      </c>
      <c r="C340" s="13">
        <v>45434.0</v>
      </c>
      <c r="D340" s="8" t="s">
        <v>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12">
        <v>54.0</v>
      </c>
      <c r="C341" s="13">
        <v>45434.0</v>
      </c>
      <c r="D341" s="8" t="s">
        <v>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12">
        <v>35.0</v>
      </c>
      <c r="C342" s="13">
        <v>45434.0</v>
      </c>
      <c r="D342" s="8" t="s">
        <v>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12">
        <v>49.0</v>
      </c>
      <c r="C343" s="13">
        <v>45434.0</v>
      </c>
      <c r="D343" s="8" t="s">
        <v>5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12">
        <v>43.0</v>
      </c>
      <c r="C344" s="13">
        <v>45434.0</v>
      </c>
      <c r="D344" s="8" t="s">
        <v>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12">
        <v>41.0</v>
      </c>
      <c r="C345" s="13">
        <v>45434.0</v>
      </c>
      <c r="D345" s="8" t="s">
        <v>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12">
        <v>51.0</v>
      </c>
      <c r="C346" s="13">
        <v>45435.0</v>
      </c>
      <c r="D346" s="8" t="s">
        <v>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12">
        <v>29.0</v>
      </c>
      <c r="C347" s="13">
        <v>45435.0</v>
      </c>
      <c r="D347" s="8" t="s">
        <v>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12">
        <v>41.0</v>
      </c>
      <c r="C348" s="13">
        <v>45436.0</v>
      </c>
      <c r="D348" s="8" t="s">
        <v>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12">
        <v>29.0</v>
      </c>
      <c r="C349" s="13">
        <v>45436.0</v>
      </c>
      <c r="D349" s="8" t="s">
        <v>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12">
        <v>41.0</v>
      </c>
      <c r="C350" s="13">
        <v>45436.0</v>
      </c>
      <c r="D350" s="8" t="s">
        <v>5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12">
        <v>55.0</v>
      </c>
      <c r="C351" s="13">
        <v>45439.0</v>
      </c>
      <c r="D351" s="8" t="s">
        <v>5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12">
        <v>45.0</v>
      </c>
      <c r="C352" s="13">
        <v>45439.0</v>
      </c>
      <c r="D352" s="8" t="s">
        <v>5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12">
        <v>32.0</v>
      </c>
      <c r="C353" s="13">
        <v>45439.0</v>
      </c>
      <c r="D353" s="8" t="s">
        <v>13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12">
        <v>57.0</v>
      </c>
      <c r="C354" s="13">
        <v>45439.0</v>
      </c>
      <c r="D354" s="8" t="s">
        <v>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12">
        <v>30.0</v>
      </c>
      <c r="C355" s="13">
        <v>45439.0</v>
      </c>
      <c r="D355" s="8" t="s">
        <v>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12">
        <v>41.0</v>
      </c>
      <c r="C356" s="13">
        <v>45439.0</v>
      </c>
      <c r="D356" s="8" t="s">
        <v>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12">
        <v>48.0</v>
      </c>
      <c r="C357" s="13">
        <v>45440.0</v>
      </c>
      <c r="D357" s="8" t="s">
        <v>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12">
        <v>46.0</v>
      </c>
      <c r="C358" s="13">
        <v>45440.0</v>
      </c>
      <c r="D358" s="8" t="s">
        <v>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12">
        <v>49.0</v>
      </c>
      <c r="C359" s="13">
        <v>45440.0</v>
      </c>
      <c r="D359" s="8" t="s">
        <v>5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12">
        <v>30.0</v>
      </c>
      <c r="C360" s="13">
        <v>45441.0</v>
      </c>
      <c r="D360" s="8" t="s">
        <v>5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12">
        <v>29.0</v>
      </c>
      <c r="C361" s="13">
        <v>45441.0</v>
      </c>
      <c r="D361" s="8" t="s">
        <v>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12">
        <v>41.0</v>
      </c>
      <c r="C362" s="13">
        <v>45441.0</v>
      </c>
      <c r="D362" s="8" t="s">
        <v>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12">
        <v>28.0</v>
      </c>
      <c r="C363" s="13">
        <v>45441.0</v>
      </c>
      <c r="D363" s="12" t="s">
        <v>15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12">
        <v>49.0</v>
      </c>
      <c r="C364" s="13">
        <v>45446.0</v>
      </c>
      <c r="D364" s="12" t="s">
        <v>13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12">
        <v>51.0</v>
      </c>
      <c r="C365" s="13">
        <v>45448.0</v>
      </c>
      <c r="D365" s="8" t="s">
        <v>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12">
        <v>57.0</v>
      </c>
      <c r="C366" s="13">
        <v>45448.0</v>
      </c>
      <c r="D366" s="8" t="s">
        <v>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12">
        <v>59.0</v>
      </c>
      <c r="C367" s="13">
        <v>45449.0</v>
      </c>
      <c r="D367" s="8" t="s">
        <v>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12">
        <v>46.0</v>
      </c>
      <c r="C368" s="13">
        <v>45449.0</v>
      </c>
      <c r="D368" s="8" t="s">
        <v>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12">
        <v>65.0</v>
      </c>
      <c r="C369" s="13">
        <v>45449.0</v>
      </c>
      <c r="D369" s="8" t="s">
        <v>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12">
        <v>56.0</v>
      </c>
      <c r="C370" s="13">
        <v>45449.0</v>
      </c>
      <c r="D370" s="8" t="s">
        <v>5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12">
        <v>42.0</v>
      </c>
      <c r="C371" s="13">
        <v>45450.0</v>
      </c>
      <c r="D371" s="8" t="s">
        <v>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12">
        <v>54.0</v>
      </c>
      <c r="C372" s="13">
        <v>45450.0</v>
      </c>
      <c r="D372" s="8" t="s">
        <v>5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12">
        <v>52.0</v>
      </c>
      <c r="C373" s="13">
        <v>45450.0</v>
      </c>
      <c r="D373" s="8" t="s">
        <v>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12">
        <v>47.0</v>
      </c>
      <c r="C374" s="13">
        <v>45453.0</v>
      </c>
      <c r="D374" s="8" t="s">
        <v>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12">
        <v>44.0</v>
      </c>
      <c r="C375" s="13">
        <v>45453.0</v>
      </c>
      <c r="D375" s="8" t="s">
        <v>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12">
        <v>55.0</v>
      </c>
      <c r="C376" s="13">
        <v>45453.0</v>
      </c>
      <c r="D376" s="8" t="s">
        <v>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12">
        <v>47.0</v>
      </c>
      <c r="C377" s="13">
        <v>45454.0</v>
      </c>
      <c r="D377" s="8" t="s">
        <v>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12">
        <v>49.0</v>
      </c>
      <c r="C378" s="13">
        <v>45454.0</v>
      </c>
      <c r="D378" s="8" t="s">
        <v>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12">
        <v>57.0</v>
      </c>
      <c r="C379" s="13">
        <v>45454.0</v>
      </c>
      <c r="D379" s="8" t="s">
        <v>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12">
        <v>46.0</v>
      </c>
      <c r="C380" s="13">
        <v>45454.0</v>
      </c>
      <c r="D380" s="8" t="s">
        <v>5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12">
        <v>48.0</v>
      </c>
      <c r="C381" s="13">
        <v>45455.0</v>
      </c>
      <c r="D381" s="8" t="s">
        <v>5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12">
        <v>39.0</v>
      </c>
      <c r="C382" s="13">
        <v>45455.0</v>
      </c>
      <c r="D382" s="8" t="s">
        <v>5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12">
        <v>44.0</v>
      </c>
      <c r="C383" s="13">
        <v>45455.0</v>
      </c>
      <c r="D383" s="8" t="s">
        <v>5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12">
        <v>32.0</v>
      </c>
      <c r="C384" s="13">
        <v>45456.0</v>
      </c>
      <c r="D384" s="8" t="s">
        <v>5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12">
        <v>41.0</v>
      </c>
      <c r="C385" s="13">
        <v>45456.0</v>
      </c>
      <c r="D385" s="8" t="s">
        <v>5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12">
        <v>42.0</v>
      </c>
      <c r="C386" s="13">
        <v>45457.0</v>
      </c>
      <c r="D386" s="8" t="s">
        <v>5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12">
        <v>59.0</v>
      </c>
      <c r="C387" s="13">
        <v>45457.0</v>
      </c>
      <c r="D387" s="8" t="s">
        <v>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12">
        <v>49.0</v>
      </c>
      <c r="C388" s="13">
        <v>45457.0</v>
      </c>
      <c r="D388" s="8" t="s">
        <v>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12">
        <v>61.0</v>
      </c>
      <c r="C389" s="13">
        <v>45457.0</v>
      </c>
      <c r="D389" s="8" t="s">
        <v>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12">
        <v>47.0</v>
      </c>
      <c r="C390" s="13">
        <v>45457.0</v>
      </c>
      <c r="D390" s="8" t="s">
        <v>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12">
        <v>31.0</v>
      </c>
      <c r="C391" s="13">
        <v>45457.0</v>
      </c>
      <c r="D391" s="8" t="s">
        <v>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12">
        <v>57.0</v>
      </c>
      <c r="C392" s="13">
        <v>45457.0</v>
      </c>
      <c r="D392" s="8" t="s">
        <v>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12">
        <v>30.0</v>
      </c>
      <c r="C393" s="13">
        <v>45457.0</v>
      </c>
      <c r="D393" s="8" t="s">
        <v>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12">
        <v>40.0</v>
      </c>
      <c r="C394" s="13">
        <v>45460.0</v>
      </c>
      <c r="D394" s="8" t="s">
        <v>5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12">
        <v>48.0</v>
      </c>
      <c r="C395" s="13">
        <v>45460.0</v>
      </c>
      <c r="D395" s="8" t="s">
        <v>5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12">
        <v>56.0</v>
      </c>
      <c r="C396" s="13">
        <v>45462.0</v>
      </c>
      <c r="D396" s="8" t="s">
        <v>5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12">
        <v>34.0</v>
      </c>
      <c r="C397" s="13">
        <v>45463.0</v>
      </c>
      <c r="D397" s="8" t="s">
        <v>5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12">
        <v>44.0</v>
      </c>
      <c r="C398" s="13">
        <v>45463.0</v>
      </c>
      <c r="D398" s="8" t="s">
        <v>5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12">
        <v>56.0</v>
      </c>
      <c r="C399" s="13">
        <v>45463.0</v>
      </c>
      <c r="D399" s="8" t="s">
        <v>5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12">
        <v>62.0</v>
      </c>
      <c r="C400" s="13">
        <v>45463.0</v>
      </c>
      <c r="D400" s="8" t="s">
        <v>5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12">
        <v>36.0</v>
      </c>
      <c r="C401" s="13">
        <v>45464.0</v>
      </c>
      <c r="D401" s="8" t="s">
        <v>5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12">
        <v>52.0</v>
      </c>
      <c r="C402" s="13">
        <v>45467.0</v>
      </c>
      <c r="D402" s="8" t="s">
        <v>5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12">
        <v>51.0</v>
      </c>
      <c r="C403" s="13">
        <v>45469.0</v>
      </c>
      <c r="D403" s="8" t="s">
        <v>5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12">
        <v>57.0</v>
      </c>
      <c r="C404" s="13">
        <v>45469.0</v>
      </c>
      <c r="D404" s="8" t="s">
        <v>5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12">
        <v>38.0</v>
      </c>
      <c r="C405" s="13">
        <v>45469.0</v>
      </c>
      <c r="D405" s="8" t="s">
        <v>5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12">
        <v>42.0</v>
      </c>
      <c r="C406" s="13">
        <v>45470.0</v>
      </c>
      <c r="D406" s="8" t="s">
        <v>5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12">
        <v>50.0</v>
      </c>
      <c r="C407" s="13">
        <v>45470.0</v>
      </c>
      <c r="D407" s="8" t="s">
        <v>5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12">
        <v>28.0</v>
      </c>
      <c r="C408" s="13">
        <v>45470.0</v>
      </c>
      <c r="D408" s="8" t="s">
        <v>5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12">
        <v>50.0</v>
      </c>
      <c r="C409" s="13">
        <v>45470.0</v>
      </c>
      <c r="D409" s="8" t="s">
        <v>5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12">
        <v>45.0</v>
      </c>
      <c r="C410" s="13">
        <v>45471.0</v>
      </c>
      <c r="D410" s="8" t="s">
        <v>5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12">
        <v>42.0</v>
      </c>
      <c r="C411" s="13">
        <v>45471.0</v>
      </c>
      <c r="D411" s="8" t="s">
        <v>5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12">
        <v>33.0</v>
      </c>
      <c r="C412" s="13">
        <v>45474.0</v>
      </c>
      <c r="D412" s="8" t="s">
        <v>5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12">
        <v>50.0</v>
      </c>
      <c r="C413" s="13">
        <v>45474.0</v>
      </c>
      <c r="D413" s="8" t="s">
        <v>5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12">
        <v>44.0</v>
      </c>
      <c r="C414" s="13">
        <v>45474.0</v>
      </c>
      <c r="D414" s="8" t="s">
        <v>5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12">
        <v>64.0</v>
      </c>
      <c r="C415" s="13">
        <v>45474.0</v>
      </c>
      <c r="D415" s="8" t="s">
        <v>5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12">
        <v>39.0</v>
      </c>
      <c r="C416" s="13">
        <v>45475.0</v>
      </c>
      <c r="D416" s="8" t="s">
        <v>5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12">
        <v>36.0</v>
      </c>
      <c r="C417" s="13">
        <v>45475.0</v>
      </c>
      <c r="D417" s="8" t="s">
        <v>5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12">
        <v>56.0</v>
      </c>
      <c r="C418" s="13">
        <v>45475.0</v>
      </c>
      <c r="D418" s="8" t="s">
        <v>5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12">
        <v>46.0</v>
      </c>
      <c r="C419" s="13">
        <v>45477.0</v>
      </c>
      <c r="D419" s="8" t="s">
        <v>5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12">
        <v>58.0</v>
      </c>
      <c r="C420" s="13">
        <v>45477.0</v>
      </c>
      <c r="D420" s="8" t="s">
        <v>5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12">
        <v>46.0</v>
      </c>
      <c r="C421" s="13">
        <v>45481.0</v>
      </c>
      <c r="D421" s="8" t="s">
        <v>5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12">
        <v>58.0</v>
      </c>
      <c r="C422" s="13">
        <v>45481.0</v>
      </c>
      <c r="D422" s="12" t="s">
        <v>11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12">
        <v>34.0</v>
      </c>
      <c r="C423" s="13">
        <v>45481.0</v>
      </c>
      <c r="D423" s="8" t="s">
        <v>5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12">
        <v>41.0</v>
      </c>
      <c r="C424" s="13">
        <v>45481.0</v>
      </c>
      <c r="D424" s="12" t="s">
        <v>15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12">
        <v>49.0</v>
      </c>
      <c r="C425" s="13">
        <v>45481.0</v>
      </c>
      <c r="D425" s="8" t="s">
        <v>5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12">
        <v>43.0</v>
      </c>
      <c r="C426" s="13">
        <v>45481.0</v>
      </c>
      <c r="D426" s="8" t="s">
        <v>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12">
        <v>47.0</v>
      </c>
      <c r="C427" s="13">
        <v>45481.0</v>
      </c>
      <c r="D427" s="8" t="s">
        <v>5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12">
        <v>62.0</v>
      </c>
      <c r="C428" s="13">
        <v>45481.0</v>
      </c>
      <c r="D428" s="8" t="s">
        <v>5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12">
        <v>37.0</v>
      </c>
      <c r="C429" s="13">
        <v>45481.0</v>
      </c>
      <c r="D429" s="8" t="s">
        <v>5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12">
        <v>58.0</v>
      </c>
      <c r="C430" s="13">
        <v>45481.0</v>
      </c>
      <c r="D430" s="8" t="s">
        <v>5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12">
        <v>51.0</v>
      </c>
      <c r="C431" s="13">
        <v>45482.0</v>
      </c>
      <c r="D431" s="8" t="s">
        <v>5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12">
        <v>31.0</v>
      </c>
      <c r="C432" s="13">
        <v>45482.0</v>
      </c>
      <c r="D432" s="8" t="s">
        <v>5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12">
        <v>46.0</v>
      </c>
      <c r="C433" s="13">
        <v>45482.0</v>
      </c>
      <c r="D433" s="8" t="s">
        <v>5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12">
        <v>42.0</v>
      </c>
      <c r="C434" s="13">
        <v>45482.0</v>
      </c>
      <c r="D434" s="8" t="s">
        <v>5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12">
        <v>49.0</v>
      </c>
      <c r="C435" s="13">
        <v>45482.0</v>
      </c>
      <c r="D435" s="8" t="s">
        <v>5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12">
        <v>53.0</v>
      </c>
      <c r="C436" s="13">
        <v>45482.0</v>
      </c>
      <c r="D436" s="8" t="s">
        <v>5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12">
        <v>50.0</v>
      </c>
      <c r="C437" s="13">
        <v>45482.0</v>
      </c>
      <c r="D437" s="8" t="s">
        <v>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12">
        <v>47.0</v>
      </c>
      <c r="C438" s="13">
        <v>45483.0</v>
      </c>
      <c r="D438" s="8" t="s">
        <v>5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12">
        <v>36.0</v>
      </c>
      <c r="C439" s="13">
        <v>45483.0</v>
      </c>
      <c r="D439" s="8" t="s">
        <v>5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12">
        <v>48.0</v>
      </c>
      <c r="C440" s="13">
        <v>45483.0</v>
      </c>
      <c r="D440" s="8" t="s">
        <v>5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12">
        <v>42.0</v>
      </c>
      <c r="C441" s="13">
        <v>45483.0</v>
      </c>
      <c r="D441" s="8" t="s">
        <v>5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12">
        <v>33.0</v>
      </c>
      <c r="C442" s="13">
        <v>45483.0</v>
      </c>
      <c r="D442" s="8" t="s">
        <v>5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12">
        <v>49.0</v>
      </c>
      <c r="C443" s="13">
        <v>45483.0</v>
      </c>
      <c r="D443" s="8" t="s">
        <v>5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12">
        <v>48.0</v>
      </c>
      <c r="C444" s="13">
        <v>45483.0</v>
      </c>
      <c r="D444" s="8" t="s">
        <v>5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12">
        <v>53.0</v>
      </c>
      <c r="C445" s="13">
        <v>45484.0</v>
      </c>
      <c r="D445" s="8" t="s">
        <v>5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12">
        <v>40.0</v>
      </c>
      <c r="C446" s="13">
        <v>45484.0</v>
      </c>
      <c r="D446" s="8" t="s">
        <v>5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12">
        <v>43.0</v>
      </c>
      <c r="C447" s="13">
        <v>45484.0</v>
      </c>
      <c r="D447" s="12" t="s">
        <v>14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12">
        <v>42.0</v>
      </c>
      <c r="C448" s="13">
        <v>45484.0</v>
      </c>
      <c r="D448" s="8" t="s">
        <v>5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12">
        <v>57.0</v>
      </c>
      <c r="C449" s="13">
        <v>45484.0</v>
      </c>
      <c r="D449" s="12" t="s">
        <v>15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12">
        <v>55.0</v>
      </c>
      <c r="C450" s="13">
        <v>45484.0</v>
      </c>
      <c r="D450" s="8" t="s">
        <v>5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12">
        <v>46.0</v>
      </c>
      <c r="C451" s="13">
        <v>45485.0</v>
      </c>
      <c r="D451" s="8" t="s">
        <v>5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12">
        <v>40.0</v>
      </c>
      <c r="C452" s="13">
        <v>45485.0</v>
      </c>
      <c r="D452" s="8" t="s">
        <v>5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12">
        <v>39.0</v>
      </c>
      <c r="C453" s="13">
        <v>45485.0</v>
      </c>
      <c r="D453" s="8" t="s">
        <v>5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12">
        <v>50.0</v>
      </c>
      <c r="C454" s="13">
        <v>45485.0</v>
      </c>
      <c r="D454" s="8" t="s">
        <v>5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12">
        <v>33.0</v>
      </c>
      <c r="C455" s="13">
        <v>45488.0</v>
      </c>
      <c r="D455" s="8" t="s">
        <v>5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12">
        <v>26.0</v>
      </c>
      <c r="C456" s="13">
        <v>45488.0</v>
      </c>
      <c r="D456" s="8" t="s">
        <v>5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12">
        <v>50.0</v>
      </c>
      <c r="C457" s="13">
        <v>45488.0</v>
      </c>
      <c r="D457" s="8" t="s">
        <v>5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12">
        <v>45.0</v>
      </c>
      <c r="C458" s="13">
        <v>45488.0</v>
      </c>
      <c r="D458" s="8" t="s">
        <v>5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12">
        <v>39.0</v>
      </c>
      <c r="C459" s="13">
        <v>45488.0</v>
      </c>
      <c r="D459" s="8" t="s">
        <v>5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12">
        <v>53.0</v>
      </c>
      <c r="C460" s="13">
        <v>45488.0</v>
      </c>
      <c r="D460" s="8" t="s">
        <v>5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12">
        <v>36.0</v>
      </c>
      <c r="C461" s="13">
        <v>45488.0</v>
      </c>
      <c r="D461" s="8" t="s">
        <v>5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12">
        <v>35.0</v>
      </c>
      <c r="C462" s="13">
        <v>45489.0</v>
      </c>
      <c r="D462" s="8" t="s">
        <v>5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12">
        <v>48.0</v>
      </c>
      <c r="C463" s="13">
        <v>45489.0</v>
      </c>
      <c r="D463" s="8" t="s">
        <v>5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12">
        <v>34.0</v>
      </c>
      <c r="C464" s="13">
        <v>45489.0</v>
      </c>
      <c r="D464" s="8" t="s">
        <v>5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12">
        <v>30.0</v>
      </c>
      <c r="C465" s="13">
        <v>45489.0</v>
      </c>
      <c r="D465" s="8" t="s">
        <v>5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12">
        <v>53.0</v>
      </c>
      <c r="C466" s="13">
        <v>45489.0</v>
      </c>
      <c r="D466" s="8" t="s">
        <v>5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12">
        <v>41.0</v>
      </c>
      <c r="C467" s="13">
        <v>45490.0</v>
      </c>
      <c r="D467" s="12" t="s">
        <v>11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12">
        <v>40.0</v>
      </c>
      <c r="C468" s="13">
        <v>45490.0</v>
      </c>
      <c r="D468" s="8" t="s">
        <v>5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12">
        <v>37.0</v>
      </c>
      <c r="C469" s="13">
        <v>45490.0</v>
      </c>
      <c r="D469" s="8" t="s">
        <v>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12">
        <v>36.0</v>
      </c>
      <c r="C470" s="13">
        <v>45490.0</v>
      </c>
      <c r="D470" s="8" t="s">
        <v>5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12">
        <v>52.0</v>
      </c>
      <c r="C471" s="13">
        <v>45490.0</v>
      </c>
      <c r="D471" s="8" t="s">
        <v>5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12">
        <v>53.0</v>
      </c>
      <c r="C472" s="13">
        <v>45490.0</v>
      </c>
      <c r="D472" s="8" t="s">
        <v>5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12">
        <v>55.0</v>
      </c>
      <c r="C473" s="13">
        <v>45490.0</v>
      </c>
      <c r="D473" s="8" t="s">
        <v>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12">
        <v>51.0</v>
      </c>
      <c r="C474" s="13">
        <v>45490.0</v>
      </c>
      <c r="D474" s="8" t="s">
        <v>5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12">
        <v>48.0</v>
      </c>
      <c r="C475" s="13">
        <v>45491.0</v>
      </c>
      <c r="D475" s="8" t="s">
        <v>5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12">
        <v>42.0</v>
      </c>
      <c r="C476" s="13">
        <v>45491.0</v>
      </c>
      <c r="D476" s="8" t="s">
        <v>5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12">
        <v>56.0</v>
      </c>
      <c r="C477" s="13">
        <v>45491.0</v>
      </c>
      <c r="D477" s="8" t="s">
        <v>5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12">
        <v>38.0</v>
      </c>
      <c r="C478" s="13">
        <v>45491.0</v>
      </c>
      <c r="D478" s="8" t="s">
        <v>5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12">
        <v>35.0</v>
      </c>
      <c r="C479" s="13">
        <v>45491.0</v>
      </c>
      <c r="D479" s="8" t="s">
        <v>5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12">
        <v>42.0</v>
      </c>
      <c r="C480" s="13">
        <v>45491.0</v>
      </c>
      <c r="D480" s="8" t="s">
        <v>5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12">
        <v>64.0</v>
      </c>
      <c r="C481" s="13">
        <v>45491.0</v>
      </c>
      <c r="D481" s="8" t="s">
        <v>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12">
        <v>34.0</v>
      </c>
      <c r="C482" s="13">
        <v>45491.0</v>
      </c>
      <c r="D482" s="8" t="s">
        <v>5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12">
        <v>44.0</v>
      </c>
      <c r="C483" s="13">
        <v>45492.0</v>
      </c>
      <c r="D483" s="8" t="s">
        <v>5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12">
        <v>27.0</v>
      </c>
      <c r="C484" s="13">
        <v>45492.0</v>
      </c>
      <c r="D484" s="8" t="s">
        <v>5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12">
        <v>37.0</v>
      </c>
      <c r="C485" s="13">
        <v>45492.0</v>
      </c>
      <c r="D485" s="8" t="s">
        <v>13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12">
        <v>29.0</v>
      </c>
      <c r="C486" s="13">
        <v>45492.0</v>
      </c>
      <c r="D486" s="8" t="s">
        <v>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12">
        <v>33.0</v>
      </c>
      <c r="C487" s="13">
        <v>45492.0</v>
      </c>
      <c r="D487" s="8" t="s">
        <v>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12">
        <v>57.0</v>
      </c>
      <c r="C488" s="13">
        <v>45495.0</v>
      </c>
      <c r="D488" s="8" t="s">
        <v>5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12">
        <v>37.0</v>
      </c>
      <c r="C489" s="13">
        <v>45495.0</v>
      </c>
      <c r="D489" s="8" t="s">
        <v>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12">
        <v>44.0</v>
      </c>
      <c r="C490" s="13">
        <v>45495.0</v>
      </c>
      <c r="D490" s="8" t="s">
        <v>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12">
        <v>29.0</v>
      </c>
      <c r="C491" s="13">
        <v>45495.0</v>
      </c>
      <c r="D491" s="8" t="s">
        <v>5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12">
        <v>44.0</v>
      </c>
      <c r="C492" s="13">
        <v>45496.0</v>
      </c>
      <c r="D492" s="8" t="s">
        <v>5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12">
        <v>42.0</v>
      </c>
      <c r="C493" s="13">
        <v>45496.0</v>
      </c>
      <c r="D493" s="12" t="s">
        <v>15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12">
        <v>55.0</v>
      </c>
      <c r="C494" s="13">
        <v>45496.0</v>
      </c>
      <c r="D494" s="8" t="s">
        <v>5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12">
        <v>40.0</v>
      </c>
      <c r="C495" s="13">
        <v>45496.0</v>
      </c>
      <c r="D495" s="8" t="s">
        <v>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12">
        <v>65.0</v>
      </c>
      <c r="C496" s="13">
        <v>45496.0</v>
      </c>
      <c r="D496" s="8" t="s">
        <v>5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12">
        <v>48.0</v>
      </c>
      <c r="C497" s="13">
        <v>45496.0</v>
      </c>
      <c r="D497" s="8" t="s">
        <v>5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12">
        <v>48.0</v>
      </c>
      <c r="C498" s="13">
        <v>45496.0</v>
      </c>
      <c r="D498" s="8" t="s">
        <v>5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12">
        <v>44.0</v>
      </c>
      <c r="C499" s="13">
        <v>45496.0</v>
      </c>
      <c r="D499" s="8" t="s">
        <v>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12">
        <v>61.0</v>
      </c>
      <c r="C500" s="13">
        <v>45497.0</v>
      </c>
      <c r="D500" s="8" t="s">
        <v>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12">
        <v>50.0</v>
      </c>
      <c r="C501" s="13">
        <v>45497.0</v>
      </c>
      <c r="D501" s="8" t="s">
        <v>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12">
        <v>33.0</v>
      </c>
      <c r="C502" s="13">
        <v>45497.0</v>
      </c>
      <c r="D502" s="8" t="s">
        <v>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12">
        <v>55.0</v>
      </c>
      <c r="C503" s="13">
        <v>45497.0</v>
      </c>
      <c r="D503" s="8" t="s">
        <v>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12">
        <v>27.0</v>
      </c>
      <c r="C504" s="13">
        <v>45497.0</v>
      </c>
      <c r="D504" s="8" t="s">
        <v>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12">
        <v>56.0</v>
      </c>
      <c r="C505" s="13">
        <v>45497.0</v>
      </c>
      <c r="D505" s="8" t="s">
        <v>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12">
        <v>44.0</v>
      </c>
      <c r="C506" s="13">
        <v>45497.0</v>
      </c>
      <c r="D506" s="8" t="s">
        <v>5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12">
        <v>34.0</v>
      </c>
      <c r="C507" s="13">
        <v>45498.0</v>
      </c>
      <c r="D507" s="8" t="s">
        <v>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12">
        <v>27.0</v>
      </c>
      <c r="C508" s="13">
        <v>45498.0</v>
      </c>
      <c r="D508" s="8" t="s">
        <v>5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12">
        <v>34.0</v>
      </c>
      <c r="C509" s="13">
        <v>45498.0</v>
      </c>
      <c r="D509" s="8" t="s">
        <v>5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12">
        <v>57.0</v>
      </c>
      <c r="C510" s="13">
        <v>45498.0</v>
      </c>
      <c r="D510" s="8" t="s">
        <v>5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12">
        <v>43.0</v>
      </c>
      <c r="C511" s="13">
        <v>45498.0</v>
      </c>
      <c r="D511" s="8" t="s">
        <v>5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12">
        <v>39.0</v>
      </c>
      <c r="C512" s="13">
        <v>45498.0</v>
      </c>
      <c r="D512" s="8" t="s">
        <v>5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12">
        <v>31.0</v>
      </c>
      <c r="C513" s="13">
        <v>45498.0</v>
      </c>
      <c r="D513" s="8" t="s">
        <v>5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12">
        <v>57.0</v>
      </c>
      <c r="C514" s="13">
        <v>45498.0</v>
      </c>
      <c r="D514" s="12" t="s">
        <v>15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12">
        <v>33.0</v>
      </c>
      <c r="C515" s="13">
        <v>45498.0</v>
      </c>
      <c r="D515" s="8" t="s">
        <v>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12">
        <v>47.0</v>
      </c>
      <c r="C516" s="13">
        <v>45498.0</v>
      </c>
      <c r="D516" s="8" t="s">
        <v>5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12">
        <v>38.0</v>
      </c>
      <c r="C517" s="13">
        <v>45499.0</v>
      </c>
      <c r="D517" s="8" t="s">
        <v>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12">
        <v>49.0</v>
      </c>
      <c r="C518" s="13">
        <v>45499.0</v>
      </c>
      <c r="D518" s="8" t="s">
        <v>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12">
        <v>29.0</v>
      </c>
      <c r="C519" s="13">
        <v>45499.0</v>
      </c>
      <c r="D519" s="8" t="s">
        <v>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12">
        <v>49.0</v>
      </c>
      <c r="C520" s="13">
        <v>45499.0</v>
      </c>
      <c r="D520" s="8" t="s">
        <v>5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12">
        <v>36.0</v>
      </c>
      <c r="C521" s="13">
        <v>45502.0</v>
      </c>
      <c r="D521" s="8" t="s">
        <v>5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12">
        <v>50.0</v>
      </c>
      <c r="C522" s="13">
        <v>45502.0</v>
      </c>
      <c r="D522" s="8" t="s">
        <v>5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12">
        <v>61.0</v>
      </c>
      <c r="C523" s="13">
        <v>45502.0</v>
      </c>
      <c r="D523" s="8" t="s">
        <v>5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12">
        <v>49.0</v>
      </c>
      <c r="C524" s="13">
        <v>45502.0</v>
      </c>
      <c r="D524" s="8" t="s">
        <v>5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12">
        <v>52.0</v>
      </c>
      <c r="C525" s="13">
        <v>45502.0</v>
      </c>
      <c r="D525" s="8" t="s">
        <v>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12">
        <v>30.0</v>
      </c>
      <c r="C526" s="13">
        <v>45502.0</v>
      </c>
      <c r="D526" s="8" t="s">
        <v>5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12">
        <v>52.0</v>
      </c>
      <c r="C527" s="13">
        <v>45503.0</v>
      </c>
      <c r="D527" s="12" t="s">
        <v>13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12">
        <v>35.0</v>
      </c>
      <c r="C528" s="13">
        <v>45503.0</v>
      </c>
      <c r="D528" s="8" t="s">
        <v>5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12">
        <v>58.0</v>
      </c>
      <c r="C529" s="13">
        <v>45503.0</v>
      </c>
      <c r="D529" s="8" t="s">
        <v>5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12">
        <v>48.0</v>
      </c>
      <c r="C530" s="13">
        <v>45503.0</v>
      </c>
      <c r="D530" s="8" t="s">
        <v>5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12">
        <v>44.0</v>
      </c>
      <c r="C531" s="13">
        <v>45503.0</v>
      </c>
      <c r="D531" s="8" t="s">
        <v>5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12">
        <v>46.0</v>
      </c>
      <c r="C532" s="13">
        <v>45503.0</v>
      </c>
      <c r="D532" s="12" t="s">
        <v>17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12">
        <v>42.0</v>
      </c>
      <c r="C533" s="13">
        <v>45503.0</v>
      </c>
      <c r="D533" s="8" t="s">
        <v>5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12">
        <v>42.0</v>
      </c>
      <c r="C534" s="13">
        <v>45504.0</v>
      </c>
      <c r="D534" s="8" t="s">
        <v>5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12">
        <v>37.0</v>
      </c>
      <c r="C535" s="13">
        <v>45504.0</v>
      </c>
      <c r="D535" s="8" t="s">
        <v>5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12">
        <v>35.0</v>
      </c>
      <c r="C536" s="13">
        <v>45504.0</v>
      </c>
      <c r="D536" s="8" t="s">
        <v>5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12">
        <v>54.0</v>
      </c>
      <c r="C537" s="13">
        <v>45504.0</v>
      </c>
      <c r="D537" s="8" t="s">
        <v>5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12">
        <v>27.0</v>
      </c>
      <c r="C538" s="13">
        <v>45504.0</v>
      </c>
      <c r="D538" s="8" t="s">
        <v>5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12">
        <v>36.0</v>
      </c>
      <c r="C539" s="13">
        <v>45505.0</v>
      </c>
      <c r="D539" s="8" t="s">
        <v>5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12">
        <v>21.0</v>
      </c>
      <c r="C540" s="13">
        <v>45505.0</v>
      </c>
      <c r="D540" s="8" t="s">
        <v>5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12">
        <v>28.0</v>
      </c>
      <c r="C541" s="13">
        <v>45505.0</v>
      </c>
      <c r="D541" s="8" t="s">
        <v>5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12">
        <v>50.0</v>
      </c>
      <c r="C542" s="13">
        <v>45505.0</v>
      </c>
      <c r="D542" s="8" t="s">
        <v>5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12">
        <v>50.0</v>
      </c>
      <c r="C543" s="13">
        <v>45506.0</v>
      </c>
      <c r="D543" s="8" t="s">
        <v>5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12">
        <v>49.0</v>
      </c>
      <c r="C544" s="13">
        <v>45506.0</v>
      </c>
      <c r="D544" s="8" t="s">
        <v>5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12">
        <v>27.0</v>
      </c>
      <c r="C545" s="13">
        <v>45506.0</v>
      </c>
      <c r="D545" s="8" t="s">
        <v>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12">
        <v>36.0</v>
      </c>
      <c r="C546" s="13">
        <v>45506.0</v>
      </c>
      <c r="D546" s="8" t="s">
        <v>5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12">
        <v>27.0</v>
      </c>
      <c r="C547" s="13">
        <v>45508.0</v>
      </c>
      <c r="D547" s="8" t="s">
        <v>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12">
        <v>28.0</v>
      </c>
      <c r="C548" s="13">
        <v>45509.0</v>
      </c>
      <c r="D548" s="8" t="s">
        <v>5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12">
        <v>49.0</v>
      </c>
      <c r="C549" s="13">
        <v>45509.0</v>
      </c>
      <c r="D549" s="8" t="s">
        <v>5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12">
        <v>47.0</v>
      </c>
      <c r="C550" s="13">
        <v>45510.0</v>
      </c>
      <c r="D550" s="8" t="s">
        <v>5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12">
        <v>45.0</v>
      </c>
      <c r="C551" s="13">
        <v>45510.0</v>
      </c>
      <c r="D551" s="8" t="s">
        <v>5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12">
        <v>43.0</v>
      </c>
      <c r="C552" s="13">
        <v>45511.0</v>
      </c>
      <c r="D552" s="8" t="s">
        <v>5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12">
        <v>49.0</v>
      </c>
      <c r="C553" s="13">
        <v>45511.0</v>
      </c>
      <c r="D553" s="8" t="s">
        <v>5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12">
        <v>49.0</v>
      </c>
      <c r="C554" s="13">
        <v>45512.0</v>
      </c>
      <c r="D554" s="8" t="s">
        <v>5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12">
        <v>35.0</v>
      </c>
      <c r="C555" s="13">
        <v>45512.0</v>
      </c>
      <c r="D555" s="8" t="s">
        <v>5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12">
        <v>44.0</v>
      </c>
      <c r="C556" s="13">
        <v>45513.0</v>
      </c>
      <c r="D556" s="8" t="s">
        <v>5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12">
        <v>56.0</v>
      </c>
      <c r="C557" s="13">
        <v>45513.0</v>
      </c>
      <c r="D557" s="8" t="s">
        <v>5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12">
        <v>59.0</v>
      </c>
      <c r="C558" s="13">
        <v>45517.0</v>
      </c>
      <c r="D558" s="8" t="s">
        <v>5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12">
        <v>39.0</v>
      </c>
      <c r="C559" s="13">
        <v>45517.0</v>
      </c>
      <c r="D559" s="8" t="s">
        <v>5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12">
        <v>57.0</v>
      </c>
      <c r="C560" s="13">
        <v>45517.0</v>
      </c>
      <c r="D560" s="8" t="s">
        <v>5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12">
        <v>51.0</v>
      </c>
      <c r="C561" s="13">
        <v>45517.0</v>
      </c>
      <c r="D561" s="8" t="s">
        <v>5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12">
        <v>34.0</v>
      </c>
      <c r="C562" s="13">
        <v>45518.0</v>
      </c>
      <c r="D562" s="8" t="s">
        <v>5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12">
        <v>28.0</v>
      </c>
      <c r="C563" s="13">
        <v>45518.0</v>
      </c>
      <c r="D563" s="8" t="s">
        <v>5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12">
        <v>65.0</v>
      </c>
      <c r="C564" s="13">
        <v>45518.0</v>
      </c>
      <c r="D564" s="8" t="s">
        <v>5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12">
        <v>50.0</v>
      </c>
      <c r="C565" s="13">
        <v>45518.0</v>
      </c>
      <c r="D565" s="8" t="s">
        <v>5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12">
        <v>49.0</v>
      </c>
      <c r="C566" s="13">
        <v>45519.0</v>
      </c>
      <c r="D566" s="8" t="s">
        <v>5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12">
        <v>28.0</v>
      </c>
      <c r="C567" s="13">
        <v>45519.0</v>
      </c>
      <c r="D567" s="8" t="s">
        <v>5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12">
        <v>34.0</v>
      </c>
      <c r="C568" s="13">
        <v>45519.0</v>
      </c>
      <c r="D568" s="8" t="s">
        <v>5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12">
        <v>59.0</v>
      </c>
      <c r="C569" s="13">
        <v>45519.0</v>
      </c>
      <c r="D569" s="8" t="s">
        <v>5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12">
        <v>33.0</v>
      </c>
      <c r="C570" s="13">
        <v>45520.0</v>
      </c>
      <c r="D570" s="8" t="s">
        <v>5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12">
        <v>51.0</v>
      </c>
      <c r="C571" s="13">
        <v>45520.0</v>
      </c>
      <c r="D571" s="8" t="s">
        <v>5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12">
        <v>63.0</v>
      </c>
      <c r="C572" s="13">
        <v>45520.0</v>
      </c>
      <c r="D572" s="8" t="s">
        <v>5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12">
        <v>42.0</v>
      </c>
      <c r="C573" s="13">
        <v>45520.0</v>
      </c>
      <c r="D573" s="8" t="s">
        <v>5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12">
        <v>30.0</v>
      </c>
      <c r="C574" s="13">
        <v>45524.0</v>
      </c>
      <c r="D574" s="8" t="s">
        <v>5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12">
        <v>42.0</v>
      </c>
      <c r="C575" s="13">
        <v>45524.0</v>
      </c>
      <c r="D575" s="8" t="s">
        <v>5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12">
        <v>47.0</v>
      </c>
      <c r="C576" s="13">
        <v>45524.0</v>
      </c>
      <c r="D576" s="8" t="s">
        <v>5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12">
        <v>59.0</v>
      </c>
      <c r="C577" s="13">
        <v>45524.0</v>
      </c>
      <c r="D577" s="8" t="s">
        <v>13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12">
        <v>50.0</v>
      </c>
      <c r="C578" s="13">
        <v>45524.0</v>
      </c>
      <c r="D578" s="8" t="s">
        <v>5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12">
        <v>29.0</v>
      </c>
      <c r="C579" s="13">
        <v>45524.0</v>
      </c>
      <c r="D579" s="8" t="s">
        <v>5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12">
        <v>58.0</v>
      </c>
      <c r="C580" s="13">
        <v>45524.0</v>
      </c>
      <c r="D580" s="8" t="s">
        <v>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12">
        <v>50.0</v>
      </c>
      <c r="C581" s="13">
        <v>45525.0</v>
      </c>
      <c r="D581" s="12" t="s">
        <v>11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12">
        <v>50.0</v>
      </c>
      <c r="C582" s="13">
        <v>45525.0</v>
      </c>
      <c r="D582" s="8" t="s">
        <v>5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12">
        <v>47.0</v>
      </c>
      <c r="C583" s="13">
        <v>45525.0</v>
      </c>
      <c r="D583" s="8" t="s">
        <v>5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12">
        <v>47.0</v>
      </c>
      <c r="C584" s="13">
        <v>45525.0</v>
      </c>
      <c r="D584" s="8" t="s">
        <v>5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12">
        <v>51.0</v>
      </c>
      <c r="C585" s="13">
        <v>45525.0</v>
      </c>
      <c r="D585" s="8" t="s">
        <v>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12">
        <v>44.0</v>
      </c>
      <c r="C586" s="13">
        <v>45526.0</v>
      </c>
      <c r="D586" s="8" t="s">
        <v>5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12">
        <v>51.0</v>
      </c>
      <c r="C587" s="13">
        <v>45526.0</v>
      </c>
      <c r="D587" s="8" t="s">
        <v>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12">
        <v>34.0</v>
      </c>
      <c r="C588" s="13">
        <v>45526.0</v>
      </c>
      <c r="D588" s="8" t="s">
        <v>5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12">
        <v>47.0</v>
      </c>
      <c r="C589" s="13">
        <v>45526.0</v>
      </c>
      <c r="D589" s="8" t="s">
        <v>5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12">
        <v>36.0</v>
      </c>
      <c r="C590" s="13">
        <v>45526.0</v>
      </c>
      <c r="D590" s="8" t="s">
        <v>5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12">
        <v>37.0</v>
      </c>
      <c r="C591" s="13">
        <v>45526.0</v>
      </c>
      <c r="D591" s="8" t="s">
        <v>5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12">
        <v>48.0</v>
      </c>
      <c r="C592" s="13">
        <v>45526.0</v>
      </c>
      <c r="D592" s="8" t="s">
        <v>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12">
        <v>35.0</v>
      </c>
      <c r="C593" s="13">
        <v>45526.0</v>
      </c>
      <c r="D593" s="8" t="s">
        <v>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12">
        <v>27.0</v>
      </c>
      <c r="C594" s="13">
        <v>45526.0</v>
      </c>
      <c r="D594" s="8" t="s">
        <v>5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12">
        <v>62.0</v>
      </c>
      <c r="C595" s="13">
        <v>45526.0</v>
      </c>
      <c r="D595" s="8" t="s">
        <v>5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12">
        <v>33.0</v>
      </c>
      <c r="C596" s="13">
        <v>45527.0</v>
      </c>
      <c r="D596" s="8" t="s">
        <v>5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12">
        <v>46.0</v>
      </c>
      <c r="C597" s="13">
        <v>45527.0</v>
      </c>
      <c r="D597" s="8" t="s">
        <v>5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12">
        <v>28.0</v>
      </c>
      <c r="C598" s="13">
        <v>45527.0</v>
      </c>
      <c r="D598" s="8" t="s">
        <v>5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12">
        <v>46.0</v>
      </c>
      <c r="C599" s="13">
        <v>45527.0</v>
      </c>
      <c r="D599" s="8" t="s">
        <v>5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12">
        <v>48.0</v>
      </c>
      <c r="C600" s="13">
        <v>45527.0</v>
      </c>
      <c r="D600" s="8" t="s">
        <v>5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12">
        <v>30.0</v>
      </c>
      <c r="C601" s="13">
        <v>45527.0</v>
      </c>
      <c r="D601" s="8" t="s">
        <v>5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12">
        <v>63.0</v>
      </c>
      <c r="C602" s="13">
        <v>45527.0</v>
      </c>
      <c r="D602" s="8" t="s">
        <v>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12">
        <v>50.0</v>
      </c>
      <c r="C603" s="13">
        <v>45530.0</v>
      </c>
      <c r="D603" s="8" t="s">
        <v>5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12">
        <v>57.0</v>
      </c>
      <c r="C604" s="13">
        <v>45530.0</v>
      </c>
      <c r="D604" s="8" t="s">
        <v>5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12">
        <v>33.0</v>
      </c>
      <c r="C605" s="13">
        <v>45531.0</v>
      </c>
      <c r="D605" s="8" t="s">
        <v>5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12">
        <v>49.0</v>
      </c>
      <c r="C606" s="13">
        <v>45531.0</v>
      </c>
      <c r="D606" s="8" t="s">
        <v>5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12">
        <v>42.0</v>
      </c>
      <c r="C607" s="13">
        <v>45531.0</v>
      </c>
      <c r="D607" s="8" t="s">
        <v>5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12">
        <v>54.0</v>
      </c>
      <c r="C608" s="13">
        <v>45531.0</v>
      </c>
      <c r="D608" s="8" t="s">
        <v>5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12">
        <v>44.0</v>
      </c>
      <c r="C609" s="13">
        <v>45531.0</v>
      </c>
      <c r="D609" s="8" t="s">
        <v>5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12">
        <v>57.0</v>
      </c>
      <c r="C610" s="13">
        <v>45532.0</v>
      </c>
      <c r="D610" s="8" t="s">
        <v>5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12">
        <v>39.0</v>
      </c>
      <c r="C611" s="13">
        <v>45532.0</v>
      </c>
      <c r="D611" s="8" t="s">
        <v>5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12">
        <v>30.0</v>
      </c>
      <c r="C612" s="13">
        <v>45533.0</v>
      </c>
      <c r="D612" s="8" t="s">
        <v>5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12">
        <v>39.0</v>
      </c>
      <c r="C613" s="13">
        <v>45533.0</v>
      </c>
      <c r="D613" s="8" t="s">
        <v>5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12">
        <v>35.0</v>
      </c>
      <c r="C614" s="13">
        <v>45533.0</v>
      </c>
      <c r="D614" s="8" t="s">
        <v>5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12">
        <v>47.0</v>
      </c>
      <c r="C615" s="13">
        <v>45533.0</v>
      </c>
      <c r="D615" s="8" t="s">
        <v>5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12">
        <v>60.0</v>
      </c>
      <c r="C616" s="13">
        <v>45533.0</v>
      </c>
      <c r="D616" s="8" t="s">
        <v>5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12">
        <v>26.0</v>
      </c>
      <c r="C617" s="13">
        <v>45533.0</v>
      </c>
      <c r="D617" s="8" t="s">
        <v>5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12">
        <v>56.0</v>
      </c>
      <c r="C618" s="13">
        <v>45533.0</v>
      </c>
      <c r="D618" s="8" t="s">
        <v>5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12">
        <v>58.0</v>
      </c>
      <c r="C619" s="13">
        <v>45534.0</v>
      </c>
      <c r="D619" s="8" t="s">
        <v>5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12">
        <v>52.0</v>
      </c>
      <c r="C620" s="13">
        <v>45534.0</v>
      </c>
      <c r="D620" s="8" t="s">
        <v>5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12">
        <v>43.0</v>
      </c>
      <c r="C621" s="13">
        <v>45534.0</v>
      </c>
      <c r="D621" s="8" t="s">
        <v>5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12">
        <v>58.0</v>
      </c>
      <c r="C622" s="13">
        <v>45534.0</v>
      </c>
      <c r="D622" s="8" t="s">
        <v>5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12">
        <v>39.0</v>
      </c>
      <c r="C623" s="13">
        <v>45534.0</v>
      </c>
      <c r="D623" s="12" t="s">
        <v>14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12">
        <v>33.0</v>
      </c>
      <c r="C624" s="13">
        <v>45537.0</v>
      </c>
      <c r="D624" s="8" t="s">
        <v>5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12">
        <v>56.0</v>
      </c>
      <c r="C625" s="13">
        <v>45537.0</v>
      </c>
      <c r="D625" s="8" t="s">
        <v>5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12">
        <v>43.0</v>
      </c>
      <c r="C626" s="13">
        <v>45537.0</v>
      </c>
      <c r="D626" s="8" t="s">
        <v>5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12">
        <v>61.0</v>
      </c>
      <c r="C627" s="13">
        <v>45538.0</v>
      </c>
      <c r="D627" s="8" t="s">
        <v>5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12">
        <v>64.0</v>
      </c>
      <c r="C628" s="13">
        <v>45538.0</v>
      </c>
      <c r="D628" s="8" t="s">
        <v>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12">
        <v>27.0</v>
      </c>
      <c r="C629" s="13">
        <v>45538.0</v>
      </c>
      <c r="D629" s="8" t="s">
        <v>5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12">
        <v>37.0</v>
      </c>
      <c r="C630" s="13">
        <v>45539.0</v>
      </c>
      <c r="D630" s="8" t="s">
        <v>5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12">
        <v>57.0</v>
      </c>
      <c r="C631" s="13">
        <v>45539.0</v>
      </c>
      <c r="D631" s="8" t="s">
        <v>5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12">
        <v>47.0</v>
      </c>
      <c r="C632" s="13">
        <v>45539.0</v>
      </c>
      <c r="D632" s="8" t="s">
        <v>5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12">
        <v>42.0</v>
      </c>
      <c r="C633" s="13">
        <v>45539.0</v>
      </c>
      <c r="D633" s="8" t="s">
        <v>5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12">
        <v>26.0</v>
      </c>
      <c r="C634" s="13">
        <v>45539.0</v>
      </c>
      <c r="D634" s="8" t="s">
        <v>5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12">
        <v>30.0</v>
      </c>
      <c r="C635" s="13">
        <v>45540.0</v>
      </c>
      <c r="D635" s="8" t="s">
        <v>5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12">
        <v>34.0</v>
      </c>
      <c r="C636" s="13">
        <v>45540.0</v>
      </c>
      <c r="D636" s="8" t="s">
        <v>5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12">
        <v>27.0</v>
      </c>
      <c r="C637" s="13">
        <v>45540.0</v>
      </c>
      <c r="D637" s="8" t="s">
        <v>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12">
        <v>57.0</v>
      </c>
      <c r="C638" s="13">
        <v>45540.0</v>
      </c>
      <c r="D638" s="8" t="s">
        <v>5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12">
        <v>38.0</v>
      </c>
      <c r="C639" s="13">
        <v>45540.0</v>
      </c>
      <c r="D639" s="8" t="s">
        <v>5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12">
        <v>40.0</v>
      </c>
      <c r="C640" s="13">
        <v>45540.0</v>
      </c>
      <c r="D640" s="8" t="s">
        <v>5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12">
        <v>27.0</v>
      </c>
      <c r="C641" s="13">
        <v>45540.0</v>
      </c>
      <c r="D641" s="8" t="s">
        <v>5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12">
        <v>32.0</v>
      </c>
      <c r="C642" s="13">
        <v>45540.0</v>
      </c>
      <c r="D642" s="8" t="s">
        <v>5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12">
        <v>50.0</v>
      </c>
      <c r="C643" s="13">
        <v>45541.0</v>
      </c>
      <c r="D643" s="8" t="s">
        <v>5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12">
        <v>35.0</v>
      </c>
      <c r="C644" s="13">
        <v>45541.0</v>
      </c>
      <c r="D644" s="12" t="s">
        <v>13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12">
        <v>54.0</v>
      </c>
      <c r="C645" s="13">
        <v>45541.0</v>
      </c>
      <c r="D645" s="8" t="s">
        <v>5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12">
        <v>30.0</v>
      </c>
      <c r="C646" s="13">
        <v>45541.0</v>
      </c>
      <c r="D646" s="8" t="s">
        <v>5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12">
        <v>58.0</v>
      </c>
      <c r="C647" s="13">
        <v>45541.0</v>
      </c>
      <c r="D647" s="8" t="s">
        <v>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12">
        <v>36.0</v>
      </c>
      <c r="C648" s="13">
        <v>45541.0</v>
      </c>
      <c r="D648" s="8" t="s">
        <v>5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12">
        <v>53.0</v>
      </c>
      <c r="C649" s="13">
        <v>45541.0</v>
      </c>
      <c r="D649" s="8" t="s">
        <v>5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12">
        <v>35.0</v>
      </c>
      <c r="C650" s="13">
        <v>45541.0</v>
      </c>
      <c r="D650" s="8" t="s">
        <v>5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12">
        <v>45.0</v>
      </c>
      <c r="C651" s="13">
        <v>45544.0</v>
      </c>
      <c r="D651" s="8" t="s">
        <v>5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12">
        <v>45.0</v>
      </c>
      <c r="C652" s="13">
        <v>45544.0</v>
      </c>
      <c r="D652" s="8" t="s">
        <v>5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12">
        <v>48.0</v>
      </c>
      <c r="C653" s="13">
        <v>45544.0</v>
      </c>
      <c r="D653" s="8" t="s">
        <v>5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12">
        <v>44.0</v>
      </c>
      <c r="C654" s="13">
        <v>45545.0</v>
      </c>
      <c r="D654" s="8" t="s">
        <v>5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12">
        <v>37.0</v>
      </c>
      <c r="C655" s="13">
        <v>45545.0</v>
      </c>
      <c r="D655" s="8" t="s">
        <v>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12">
        <v>46.0</v>
      </c>
      <c r="C656" s="13">
        <v>45545.0</v>
      </c>
      <c r="D656" s="8" t="s">
        <v>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12">
        <v>38.0</v>
      </c>
      <c r="C657" s="13">
        <v>45545.0</v>
      </c>
      <c r="D657" s="8" t="s">
        <v>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12">
        <v>54.0</v>
      </c>
      <c r="C658" s="13">
        <v>45545.0</v>
      </c>
      <c r="D658" s="8" t="s">
        <v>5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12">
        <v>47.0</v>
      </c>
      <c r="C659" s="13">
        <v>45545.0</v>
      </c>
      <c r="D659" s="8" t="s">
        <v>5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12">
        <v>44.0</v>
      </c>
      <c r="C660" s="13">
        <v>45546.0</v>
      </c>
      <c r="D660" s="8" t="s">
        <v>5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12">
        <v>35.0</v>
      </c>
      <c r="C661" s="13">
        <v>45546.0</v>
      </c>
      <c r="D661" s="8" t="s">
        <v>5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12">
        <v>49.0</v>
      </c>
      <c r="C662" s="13">
        <v>45546.0</v>
      </c>
      <c r="D662" s="8" t="s">
        <v>5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12">
        <v>58.0</v>
      </c>
      <c r="C663" s="13">
        <v>45546.0</v>
      </c>
      <c r="D663" s="12" t="s">
        <v>11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12">
        <v>43.0</v>
      </c>
      <c r="C664" s="13">
        <v>45547.0</v>
      </c>
      <c r="D664" s="8" t="s">
        <v>5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12">
        <v>50.0</v>
      </c>
      <c r="C665" s="13">
        <v>45547.0</v>
      </c>
      <c r="D665" s="8" t="s">
        <v>5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12">
        <v>55.0</v>
      </c>
      <c r="C666" s="13">
        <v>45547.0</v>
      </c>
      <c r="D666" s="8" t="s">
        <v>5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12">
        <v>59.0</v>
      </c>
      <c r="C667" s="13">
        <v>45547.0</v>
      </c>
      <c r="D667" s="8" t="s">
        <v>5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12">
        <v>35.0</v>
      </c>
      <c r="C668" s="13">
        <v>45547.0</v>
      </c>
      <c r="D668" s="8" t="s">
        <v>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12">
        <v>57.0</v>
      </c>
      <c r="C669" s="13">
        <v>45547.0</v>
      </c>
      <c r="D669" s="8" t="s">
        <v>5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12">
        <v>54.0</v>
      </c>
      <c r="C670" s="13">
        <v>45547.0</v>
      </c>
      <c r="D670" s="8" t="s">
        <v>5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12">
        <v>48.0</v>
      </c>
      <c r="C671" s="13">
        <v>45547.0</v>
      </c>
      <c r="D671" s="8" t="s">
        <v>5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12">
        <v>51.0</v>
      </c>
      <c r="C672" s="13">
        <v>45547.0</v>
      </c>
      <c r="D672" s="8" t="s">
        <v>5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12">
        <v>38.0</v>
      </c>
      <c r="C673" s="13">
        <v>45551.0</v>
      </c>
      <c r="D673" s="8" t="s">
        <v>5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12">
        <v>47.0</v>
      </c>
      <c r="C674" s="13">
        <v>45551.0</v>
      </c>
      <c r="D674" s="8" t="s">
        <v>5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12">
        <v>41.0</v>
      </c>
      <c r="C675" s="13">
        <v>45551.0</v>
      </c>
      <c r="D675" s="8" t="s">
        <v>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12">
        <v>35.0</v>
      </c>
      <c r="C676" s="13">
        <v>45551.0</v>
      </c>
      <c r="D676" s="8" t="s">
        <v>5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12">
        <v>55.0</v>
      </c>
      <c r="C677" s="13">
        <v>45552.0</v>
      </c>
      <c r="D677" s="8" t="s">
        <v>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12">
        <v>51.0</v>
      </c>
      <c r="C678" s="13">
        <v>45552.0</v>
      </c>
      <c r="D678" s="8" t="s">
        <v>5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12">
        <v>45.0</v>
      </c>
      <c r="C679" s="13">
        <v>45553.0</v>
      </c>
      <c r="D679" s="8" t="s">
        <v>5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12">
        <v>48.0</v>
      </c>
      <c r="C680" s="13">
        <v>45553.0</v>
      </c>
      <c r="D680" s="8" t="s">
        <v>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12">
        <v>44.0</v>
      </c>
      <c r="C681" s="13">
        <v>45553.0</v>
      </c>
      <c r="D681" s="8" t="s">
        <v>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12">
        <v>27.0</v>
      </c>
      <c r="C682" s="13">
        <v>45554.0</v>
      </c>
      <c r="D682" s="8" t="s">
        <v>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12">
        <v>43.0</v>
      </c>
      <c r="C683" s="13">
        <v>45554.0</v>
      </c>
      <c r="D683" s="8" t="s">
        <v>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12">
        <v>49.0</v>
      </c>
      <c r="C684" s="13">
        <v>45554.0</v>
      </c>
      <c r="D684" s="8" t="s">
        <v>5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12">
        <v>54.0</v>
      </c>
      <c r="C685" s="13">
        <v>45555.0</v>
      </c>
      <c r="D685" s="8" t="s">
        <v>5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12">
        <v>47.0</v>
      </c>
      <c r="C686" s="13">
        <v>45555.0</v>
      </c>
      <c r="D686" s="8" t="s">
        <v>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12">
        <v>48.0</v>
      </c>
      <c r="C687" s="13">
        <v>45555.0</v>
      </c>
      <c r="D687" s="8" t="s">
        <v>5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12">
        <v>45.0</v>
      </c>
      <c r="C688" s="13">
        <v>45555.0</v>
      </c>
      <c r="D688" s="12" t="s">
        <v>14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12">
        <v>50.0</v>
      </c>
      <c r="C689" s="13">
        <v>45555.0</v>
      </c>
      <c r="D689" s="8" t="s">
        <v>5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12">
        <v>36.0</v>
      </c>
      <c r="C690" s="13">
        <v>45555.0</v>
      </c>
      <c r="D690" s="12" t="s">
        <v>13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12">
        <v>46.0</v>
      </c>
      <c r="C691" s="13">
        <v>45555.0</v>
      </c>
      <c r="D691" s="8" t="s">
        <v>5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12">
        <v>42.0</v>
      </c>
      <c r="C692" s="13">
        <v>45558.0</v>
      </c>
      <c r="D692" s="8" t="s">
        <v>5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12">
        <v>48.0</v>
      </c>
      <c r="C693" s="13">
        <v>45558.0</v>
      </c>
      <c r="D693" s="8" t="s">
        <v>5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12">
        <v>26.0</v>
      </c>
      <c r="C694" s="13">
        <v>45558.0</v>
      </c>
      <c r="D694" s="8" t="s">
        <v>5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12">
        <v>34.0</v>
      </c>
      <c r="C695" s="13">
        <v>45558.0</v>
      </c>
      <c r="D695" s="8" t="s">
        <v>5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12">
        <v>50.0</v>
      </c>
      <c r="C696" s="13">
        <v>45558.0</v>
      </c>
      <c r="D696" s="8" t="s">
        <v>5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12">
        <v>61.0</v>
      </c>
      <c r="C697" s="13">
        <v>45558.0</v>
      </c>
      <c r="D697" s="8" t="s">
        <v>5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12">
        <v>41.0</v>
      </c>
      <c r="C698" s="13">
        <v>45559.0</v>
      </c>
      <c r="D698" s="12" t="s">
        <v>14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12">
        <v>51.0</v>
      </c>
      <c r="C699" s="13">
        <v>45559.0</v>
      </c>
      <c r="D699" s="8" t="s">
        <v>5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12">
        <v>55.0</v>
      </c>
      <c r="C700" s="13">
        <v>45559.0</v>
      </c>
      <c r="D700" s="8" t="s">
        <v>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12">
        <v>60.0</v>
      </c>
      <c r="C701" s="13">
        <v>45561.0</v>
      </c>
      <c r="D701" s="8" t="s">
        <v>5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12">
        <v>44.0</v>
      </c>
      <c r="C702" s="13">
        <v>45561.0</v>
      </c>
      <c r="D702" s="8" t="s">
        <v>5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12">
        <v>45.0</v>
      </c>
      <c r="C703" s="13">
        <v>45562.0</v>
      </c>
      <c r="D703" s="8" t="s">
        <v>5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12">
        <v>26.0</v>
      </c>
      <c r="C704" s="13">
        <v>45562.0</v>
      </c>
      <c r="D704" s="8" t="s">
        <v>5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12">
        <v>47.0</v>
      </c>
      <c r="C705" s="13">
        <v>45562.0</v>
      </c>
      <c r="D705" s="8" t="s">
        <v>5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12">
        <v>45.0</v>
      </c>
      <c r="C706" s="13">
        <v>45562.0</v>
      </c>
      <c r="D706" s="8" t="s">
        <v>5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12">
        <v>43.0</v>
      </c>
      <c r="C707" s="13">
        <v>45565.0</v>
      </c>
      <c r="D707" s="8" t="s">
        <v>5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12">
        <v>53.0</v>
      </c>
      <c r="C708" s="13">
        <v>45565.0</v>
      </c>
      <c r="D708" s="8" t="s">
        <v>5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12">
        <v>45.0</v>
      </c>
      <c r="C709" s="13">
        <v>45565.0</v>
      </c>
      <c r="D709" s="8" t="s">
        <v>5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12">
        <v>58.0</v>
      </c>
      <c r="C710" s="13">
        <v>45566.0</v>
      </c>
      <c r="D710" s="12" t="s">
        <v>13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12">
        <v>63.0</v>
      </c>
      <c r="C711" s="13">
        <v>45566.0</v>
      </c>
      <c r="D711" s="8" t="s">
        <v>5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12">
        <v>28.0</v>
      </c>
      <c r="C712" s="13">
        <v>45566.0</v>
      </c>
      <c r="D712" s="8" t="s">
        <v>5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12">
        <v>46.0</v>
      </c>
      <c r="C713" s="13">
        <v>45567.0</v>
      </c>
      <c r="D713" s="8" t="s">
        <v>5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12">
        <v>45.0</v>
      </c>
      <c r="C714" s="13">
        <v>45567.0</v>
      </c>
      <c r="D714" s="8" t="s">
        <v>5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12">
        <v>49.0</v>
      </c>
      <c r="C715" s="13">
        <v>45567.0</v>
      </c>
      <c r="D715" s="12" t="s">
        <v>13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12">
        <v>29.0</v>
      </c>
      <c r="C716" s="13">
        <v>45567.0</v>
      </c>
      <c r="D716" s="8" t="s">
        <v>5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12">
        <v>41.0</v>
      </c>
      <c r="C717" s="13">
        <v>45567.0</v>
      </c>
      <c r="D717" s="8" t="s">
        <v>5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12">
        <v>53.0</v>
      </c>
      <c r="C718" s="13">
        <v>45567.0</v>
      </c>
      <c r="D718" s="8" t="s">
        <v>5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12">
        <v>29.0</v>
      </c>
      <c r="C719" s="13">
        <v>45567.0</v>
      </c>
      <c r="D719" s="8" t="s">
        <v>5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12">
        <v>51.0</v>
      </c>
      <c r="C720" s="13">
        <v>45567.0</v>
      </c>
      <c r="D720" s="8" t="s">
        <v>5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12">
        <v>59.0</v>
      </c>
      <c r="C721" s="13">
        <v>45567.0</v>
      </c>
      <c r="D721" s="8" t="s">
        <v>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12">
        <v>48.0</v>
      </c>
      <c r="C722" s="13">
        <v>45568.0</v>
      </c>
      <c r="D722" s="8" t="s">
        <v>5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12">
        <v>27.0</v>
      </c>
      <c r="C723" s="13">
        <v>45568.0</v>
      </c>
      <c r="D723" s="8" t="s">
        <v>5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12">
        <v>44.0</v>
      </c>
      <c r="C724" s="13">
        <v>45568.0</v>
      </c>
      <c r="D724" s="8" t="s">
        <v>5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12">
        <v>35.0</v>
      </c>
      <c r="C725" s="13">
        <v>45568.0</v>
      </c>
      <c r="D725" s="8" t="s">
        <v>5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12">
        <v>48.0</v>
      </c>
      <c r="C726" s="13">
        <v>45568.0</v>
      </c>
      <c r="D726" s="8" t="s">
        <v>5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12">
        <v>61.0</v>
      </c>
      <c r="C727" s="13">
        <v>45568.0</v>
      </c>
      <c r="D727" s="8" t="s">
        <v>5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12">
        <v>43.0</v>
      </c>
      <c r="C728" s="13">
        <v>45568.0</v>
      </c>
      <c r="D728" s="8" t="s">
        <v>5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12">
        <v>55.0</v>
      </c>
      <c r="C729" s="13">
        <v>45569.0</v>
      </c>
      <c r="D729" s="8" t="s">
        <v>5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12">
        <v>35.0</v>
      </c>
      <c r="C730" s="13">
        <v>45569.0</v>
      </c>
      <c r="D730" s="12" t="s">
        <v>11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12">
        <v>46.0</v>
      </c>
      <c r="C731" s="13">
        <v>45569.0</v>
      </c>
      <c r="D731" s="8" t="s">
        <v>5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12">
        <v>51.0</v>
      </c>
      <c r="C732" s="13">
        <v>45569.0</v>
      </c>
      <c r="D732" s="8" t="s">
        <v>5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12">
        <v>36.0</v>
      </c>
      <c r="C733" s="13">
        <v>45569.0</v>
      </c>
      <c r="D733" s="8" t="s">
        <v>5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12">
        <v>46.0</v>
      </c>
      <c r="C734" s="13">
        <v>45569.0</v>
      </c>
      <c r="D734" s="8" t="s">
        <v>5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12">
        <v>49.0</v>
      </c>
      <c r="C735" s="13">
        <v>45569.0</v>
      </c>
      <c r="D735" s="8" t="s">
        <v>5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12">
        <v>41.0</v>
      </c>
      <c r="C736" s="13">
        <v>45569.0</v>
      </c>
      <c r="D736" s="8" t="s">
        <v>5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12">
        <v>55.0</v>
      </c>
      <c r="C737" s="13">
        <v>45569.0</v>
      </c>
      <c r="D737" s="8" t="s">
        <v>5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12">
        <v>28.0</v>
      </c>
      <c r="C738" s="13">
        <v>45572.0</v>
      </c>
      <c r="D738" s="8" t="s">
        <v>5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12">
        <v>28.0</v>
      </c>
      <c r="C739" s="13">
        <v>45572.0</v>
      </c>
      <c r="D739" s="12" t="s">
        <v>14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12">
        <v>39.0</v>
      </c>
      <c r="C740" s="13">
        <v>45572.0</v>
      </c>
      <c r="D740" s="8" t="s">
        <v>5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12">
        <v>59.0</v>
      </c>
      <c r="C741" s="13">
        <v>45572.0</v>
      </c>
      <c r="D741" s="8" t="s">
        <v>5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12">
        <v>51.0</v>
      </c>
      <c r="C742" s="13">
        <v>45572.0</v>
      </c>
      <c r="D742" s="8" t="s">
        <v>5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12">
        <v>64.0</v>
      </c>
      <c r="C743" s="13">
        <v>45572.0</v>
      </c>
      <c r="D743" s="8" t="s">
        <v>5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12">
        <v>49.0</v>
      </c>
      <c r="C744" s="13">
        <v>45572.0</v>
      </c>
      <c r="D744" s="8" t="s">
        <v>5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12">
        <v>46.0</v>
      </c>
      <c r="C745" s="13">
        <v>45573.0</v>
      </c>
      <c r="D745" s="8" t="s">
        <v>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12">
        <v>30.0</v>
      </c>
      <c r="C746" s="13">
        <v>45573.0</v>
      </c>
      <c r="D746" s="8" t="s">
        <v>5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12">
        <v>51.0</v>
      </c>
      <c r="C747" s="13">
        <v>45573.0</v>
      </c>
      <c r="D747" s="8" t="s">
        <v>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12">
        <v>38.0</v>
      </c>
      <c r="C748" s="13">
        <v>45573.0</v>
      </c>
      <c r="D748" s="8" t="s">
        <v>5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12">
        <v>33.0</v>
      </c>
      <c r="C749" s="13">
        <v>45573.0</v>
      </c>
      <c r="D749" s="8" t="s">
        <v>5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12">
        <v>41.0</v>
      </c>
      <c r="C750" s="13">
        <v>45574.0</v>
      </c>
      <c r="D750" s="8" t="s">
        <v>5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12">
        <v>39.0</v>
      </c>
      <c r="C751" s="13">
        <v>45574.0</v>
      </c>
      <c r="D751" s="8" t="s">
        <v>5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12">
        <v>52.0</v>
      </c>
      <c r="C752" s="13">
        <v>45574.0</v>
      </c>
      <c r="D752" s="12" t="s">
        <v>15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12">
        <v>36.0</v>
      </c>
      <c r="C753" s="13">
        <v>45574.0</v>
      </c>
      <c r="D753" s="8" t="s">
        <v>5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12">
        <v>44.0</v>
      </c>
      <c r="C754" s="13">
        <v>45574.0</v>
      </c>
      <c r="D754" s="8" t="s">
        <v>5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12">
        <v>48.0</v>
      </c>
      <c r="C755" s="13">
        <v>45574.0</v>
      </c>
      <c r="D755" s="8" t="s">
        <v>5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12">
        <v>57.0</v>
      </c>
      <c r="C756" s="13">
        <v>45574.0</v>
      </c>
      <c r="D756" s="8" t="s">
        <v>5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12">
        <v>51.0</v>
      </c>
      <c r="C757" s="13">
        <v>45574.0</v>
      </c>
      <c r="D757" s="8" t="s">
        <v>5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12">
        <v>34.0</v>
      </c>
      <c r="C758" s="14">
        <v>45575.0</v>
      </c>
      <c r="D758" s="8" t="s">
        <v>5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12">
        <v>52.0</v>
      </c>
      <c r="C759" s="14">
        <v>45575.0</v>
      </c>
      <c r="D759" s="8" t="s">
        <v>5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12">
        <v>46.0</v>
      </c>
      <c r="C760" s="14">
        <v>45575.0</v>
      </c>
      <c r="D760" s="8" t="s">
        <v>5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12">
        <v>38.0</v>
      </c>
      <c r="C761" s="14">
        <v>45575.0</v>
      </c>
      <c r="D761" s="8" t="s">
        <v>5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12">
        <v>28.0</v>
      </c>
      <c r="C762" s="14">
        <v>45575.0</v>
      </c>
      <c r="D762" s="8" t="s">
        <v>5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12">
        <v>62.0</v>
      </c>
      <c r="C763" s="14">
        <v>45575.0</v>
      </c>
      <c r="D763" s="8" t="s">
        <v>5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12">
        <v>49.0</v>
      </c>
      <c r="C764" s="14">
        <v>45575.0</v>
      </c>
      <c r="D764" s="8" t="s">
        <v>5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12">
        <v>47.0</v>
      </c>
      <c r="C765" s="14">
        <v>45575.0</v>
      </c>
      <c r="D765" s="8" t="s">
        <v>5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12">
        <v>44.0</v>
      </c>
      <c r="C766" s="14">
        <v>45576.0</v>
      </c>
      <c r="D766" s="8" t="s">
        <v>5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12">
        <v>51.0</v>
      </c>
      <c r="C767" s="14">
        <v>45576.0</v>
      </c>
      <c r="D767" s="8" t="s">
        <v>5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12">
        <v>45.0</v>
      </c>
      <c r="C768" s="14">
        <v>45576.0</v>
      </c>
      <c r="D768" s="12" t="s">
        <v>15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12">
        <v>48.0</v>
      </c>
      <c r="C769" s="14">
        <v>45576.0</v>
      </c>
      <c r="D769" s="8" t="s">
        <v>5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12">
        <v>53.0</v>
      </c>
      <c r="C770" s="14">
        <v>45576.0</v>
      </c>
      <c r="D770" s="8" t="s">
        <v>5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12">
        <v>50.0</v>
      </c>
      <c r="C771" s="14">
        <v>45576.0</v>
      </c>
      <c r="D771" s="8" t="s">
        <v>5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12">
        <v>53.0</v>
      </c>
      <c r="C772" s="14">
        <v>45576.0</v>
      </c>
      <c r="D772" s="8" t="s">
        <v>5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12">
        <v>49.0</v>
      </c>
      <c r="C773" s="14">
        <v>45576.0</v>
      </c>
      <c r="D773" s="8" t="s">
        <v>5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12">
        <v>61.0</v>
      </c>
      <c r="C774" s="14">
        <v>45579.0</v>
      </c>
      <c r="D774" s="8" t="s">
        <v>5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12">
        <v>30.0</v>
      </c>
      <c r="C775" s="14">
        <v>45579.0</v>
      </c>
      <c r="D775" s="8" t="s">
        <v>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12">
        <v>44.0</v>
      </c>
      <c r="C776" s="14">
        <v>45579.0</v>
      </c>
      <c r="D776" s="12" t="s">
        <v>11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12">
        <v>53.0</v>
      </c>
      <c r="C777" s="14">
        <v>45579.0</v>
      </c>
      <c r="D777" s="8" t="s">
        <v>5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12">
        <v>56.0</v>
      </c>
      <c r="C778" s="14">
        <v>45579.0</v>
      </c>
      <c r="D778" s="12" t="s">
        <v>14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12">
        <v>51.0</v>
      </c>
      <c r="C779" s="14">
        <v>45580.0</v>
      </c>
      <c r="D779" s="8" t="s">
        <v>5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12">
        <v>48.0</v>
      </c>
      <c r="C780" s="14">
        <v>45580.0</v>
      </c>
      <c r="D780" s="12" t="s">
        <v>11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12">
        <v>50.0</v>
      </c>
      <c r="C781" s="14">
        <v>45580.0</v>
      </c>
      <c r="D781" s="8" t="s">
        <v>5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12">
        <v>55.0</v>
      </c>
      <c r="C782" s="14">
        <v>45581.0</v>
      </c>
      <c r="D782" s="8" t="s">
        <v>5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12">
        <v>61.0</v>
      </c>
      <c r="C783" s="14">
        <v>45581.0</v>
      </c>
      <c r="D783" s="8" t="s">
        <v>5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12">
        <v>47.0</v>
      </c>
      <c r="C784" s="14">
        <v>45581.0</v>
      </c>
      <c r="D784" s="8" t="s">
        <v>5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12">
        <v>49.0</v>
      </c>
      <c r="C785" s="14">
        <v>45581.0</v>
      </c>
      <c r="D785" s="12" t="s">
        <v>15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12">
        <v>52.0</v>
      </c>
      <c r="C786" s="14">
        <v>45582.0</v>
      </c>
      <c r="D786" s="8" t="s">
        <v>5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12">
        <v>39.0</v>
      </c>
      <c r="C787" s="14">
        <v>45582.0</v>
      </c>
      <c r="D787" s="8" t="s">
        <v>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12">
        <v>40.0</v>
      </c>
      <c r="C788" s="14">
        <v>45582.0</v>
      </c>
      <c r="D788" s="8" t="s">
        <v>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12">
        <v>25.0</v>
      </c>
      <c r="C789" s="14">
        <v>45582.0</v>
      </c>
      <c r="D789" s="8" t="s">
        <v>5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12">
        <v>55.0</v>
      </c>
      <c r="C790" s="14">
        <v>45582.0</v>
      </c>
      <c r="D790" s="8" t="s">
        <v>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12">
        <v>36.0</v>
      </c>
      <c r="C791" s="14">
        <v>45582.0</v>
      </c>
      <c r="D791" s="8" t="s">
        <v>5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12">
        <v>51.0</v>
      </c>
      <c r="C792" s="14">
        <v>45582.0</v>
      </c>
      <c r="D792" s="8" t="s">
        <v>5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12">
        <v>50.0</v>
      </c>
      <c r="C793" s="14">
        <v>45583.0</v>
      </c>
      <c r="D793" s="8" t="s">
        <v>5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12">
        <v>42.0</v>
      </c>
      <c r="C794" s="14">
        <v>45583.0</v>
      </c>
      <c r="D794" s="8" t="s">
        <v>5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12">
        <v>27.0</v>
      </c>
      <c r="C795" s="14">
        <v>45583.0</v>
      </c>
      <c r="D795" s="8" t="s">
        <v>5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12">
        <v>28.0</v>
      </c>
      <c r="C796" s="14">
        <v>45583.0</v>
      </c>
      <c r="D796" s="8" t="s">
        <v>5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12">
        <v>56.0</v>
      </c>
      <c r="C797" s="14">
        <v>45583.0</v>
      </c>
      <c r="D797" s="8" t="s">
        <v>5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12">
        <v>54.0</v>
      </c>
      <c r="C798" s="14">
        <v>45583.0</v>
      </c>
      <c r="D798" s="8" t="s">
        <v>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12">
        <v>50.0</v>
      </c>
      <c r="C799" s="14">
        <v>45583.0</v>
      </c>
      <c r="D799" s="8" t="s">
        <v>5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12">
        <v>47.0</v>
      </c>
      <c r="C800" s="14">
        <v>45583.0</v>
      </c>
      <c r="D800" s="8" t="s">
        <v>5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12">
        <v>26.0</v>
      </c>
      <c r="C801" s="14">
        <v>45583.0</v>
      </c>
      <c r="D801" s="8" t="s">
        <v>5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12">
        <v>36.0</v>
      </c>
      <c r="C802" s="14">
        <v>45586.0</v>
      </c>
      <c r="D802" s="8" t="s">
        <v>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12">
        <v>50.0</v>
      </c>
      <c r="C803" s="14">
        <v>45586.0</v>
      </c>
      <c r="D803" s="8" t="s">
        <v>5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12">
        <v>60.0</v>
      </c>
      <c r="C804" s="14">
        <v>45586.0</v>
      </c>
      <c r="D804" s="8" t="s">
        <v>5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12">
        <v>42.0</v>
      </c>
      <c r="C805" s="14">
        <v>45586.0</v>
      </c>
      <c r="D805" s="8" t="s">
        <v>5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12">
        <v>29.0</v>
      </c>
      <c r="C806" s="14">
        <v>45587.0</v>
      </c>
      <c r="D806" s="8" t="s">
        <v>5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12">
        <v>48.0</v>
      </c>
      <c r="C807" s="14">
        <v>45587.0</v>
      </c>
      <c r="D807" s="8" t="s">
        <v>5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12">
        <v>42.0</v>
      </c>
      <c r="C808" s="14">
        <v>45587.0</v>
      </c>
      <c r="D808" s="12" t="s">
        <v>12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12">
        <v>63.0</v>
      </c>
      <c r="C809" s="14">
        <v>45588.0</v>
      </c>
      <c r="D809" s="8" t="s">
        <v>5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12">
        <v>63.0</v>
      </c>
      <c r="C810" s="14">
        <v>45589.0</v>
      </c>
      <c r="D810" s="8" t="s">
        <v>5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12">
        <v>47.0</v>
      </c>
      <c r="C811" s="14">
        <v>45589.0</v>
      </c>
      <c r="D811" s="8" t="s">
        <v>5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12">
        <v>29.0</v>
      </c>
      <c r="C812" s="14">
        <v>45589.0</v>
      </c>
      <c r="D812" s="8" t="s">
        <v>5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12">
        <v>30.0</v>
      </c>
      <c r="C813" s="14">
        <v>45589.0</v>
      </c>
      <c r="D813" s="8" t="s">
        <v>5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12">
        <v>33.0</v>
      </c>
      <c r="C814" s="14">
        <v>45589.0</v>
      </c>
      <c r="D814" s="8" t="s">
        <v>5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12">
        <v>50.0</v>
      </c>
      <c r="C815" s="14">
        <v>45589.0</v>
      </c>
      <c r="D815" s="8" t="s">
        <v>5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12">
        <v>63.0</v>
      </c>
      <c r="C816" s="14">
        <v>45589.0</v>
      </c>
      <c r="D816" s="12" t="s">
        <v>12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12">
        <v>61.0</v>
      </c>
      <c r="C817" s="14">
        <v>45589.0</v>
      </c>
      <c r="D817" s="8" t="s">
        <v>5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12">
        <v>46.0</v>
      </c>
      <c r="C818" s="14">
        <v>45589.0</v>
      </c>
      <c r="D818" s="8" t="s">
        <v>5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12">
        <v>45.0</v>
      </c>
      <c r="C819" s="14">
        <v>45589.0</v>
      </c>
      <c r="D819" s="8" t="s">
        <v>5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12">
        <v>43.0</v>
      </c>
      <c r="C820" s="14">
        <v>45589.0</v>
      </c>
      <c r="D820" s="12" t="s">
        <v>14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12">
        <v>60.0</v>
      </c>
      <c r="C821" s="14">
        <v>45590.0</v>
      </c>
      <c r="D821" s="8" t="s">
        <v>5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12">
        <v>45.0</v>
      </c>
      <c r="C822" s="14">
        <v>45590.0</v>
      </c>
      <c r="D822" s="8" t="s">
        <v>5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12">
        <v>43.0</v>
      </c>
      <c r="C823" s="14">
        <v>45590.0</v>
      </c>
      <c r="D823" s="8" t="s">
        <v>5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12">
        <v>46.0</v>
      </c>
      <c r="C824" s="14">
        <v>45590.0</v>
      </c>
      <c r="D824" s="8" t="s">
        <v>5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12">
        <v>52.0</v>
      </c>
      <c r="C825" s="14">
        <v>45590.0</v>
      </c>
      <c r="D825" s="8" t="s">
        <v>5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12">
        <v>52.0</v>
      </c>
      <c r="C826" s="14">
        <v>45590.0</v>
      </c>
      <c r="D826" s="8" t="s">
        <v>5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12">
        <v>44.0</v>
      </c>
      <c r="C827" s="14">
        <v>45590.0</v>
      </c>
      <c r="D827" s="8" t="s">
        <v>5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12">
        <v>26.0</v>
      </c>
      <c r="C828" s="14">
        <v>45590.0</v>
      </c>
      <c r="D828" s="8" t="s">
        <v>5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12">
        <v>46.0</v>
      </c>
      <c r="C829" s="14">
        <v>45590.0</v>
      </c>
      <c r="D829" s="8" t="s">
        <v>5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12">
        <v>44.0</v>
      </c>
      <c r="C830" s="14">
        <v>45590.0</v>
      </c>
      <c r="D830" s="8" t="s">
        <v>5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12">
        <v>55.0</v>
      </c>
      <c r="C831" s="14">
        <v>45590.0</v>
      </c>
      <c r="D831" s="8" t="s">
        <v>5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12">
        <v>53.0</v>
      </c>
      <c r="C832" s="14">
        <v>45593.0</v>
      </c>
      <c r="D832" s="8" t="s">
        <v>5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12">
        <v>29.0</v>
      </c>
      <c r="C833" s="14">
        <v>45593.0</v>
      </c>
      <c r="D833" s="12" t="s">
        <v>15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12">
        <v>27.0</v>
      </c>
      <c r="C834" s="14">
        <v>45593.0</v>
      </c>
      <c r="D834" s="8" t="s">
        <v>5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12">
        <v>43.0</v>
      </c>
      <c r="C835" s="14">
        <v>45593.0</v>
      </c>
      <c r="D835" s="8" t="s">
        <v>5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12">
        <v>64.0</v>
      </c>
      <c r="C836" s="14">
        <v>45593.0</v>
      </c>
      <c r="D836" s="8" t="s">
        <v>5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12">
        <v>38.0</v>
      </c>
      <c r="C837" s="14">
        <v>45593.0</v>
      </c>
      <c r="D837" s="8" t="s">
        <v>5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12">
        <v>38.0</v>
      </c>
      <c r="C838" s="14">
        <v>45593.0</v>
      </c>
      <c r="D838" s="8" t="s">
        <v>5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12">
        <v>40.0</v>
      </c>
      <c r="C839" s="14">
        <v>45594.0</v>
      </c>
      <c r="D839" s="8" t="s">
        <v>5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12">
        <v>27.0</v>
      </c>
      <c r="C840" s="14">
        <v>45594.0</v>
      </c>
      <c r="D840" s="8" t="s">
        <v>5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12">
        <v>30.0</v>
      </c>
      <c r="C841" s="14">
        <v>45594.0</v>
      </c>
      <c r="D841" s="8" t="s">
        <v>5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12">
        <v>52.0</v>
      </c>
      <c r="C842" s="14">
        <v>45594.0</v>
      </c>
      <c r="D842" s="8" t="s">
        <v>5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12">
        <v>48.0</v>
      </c>
      <c r="C843" s="14">
        <v>45594.0</v>
      </c>
      <c r="D843" s="8" t="s">
        <v>5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12">
        <v>47.0</v>
      </c>
      <c r="C844" s="14">
        <v>45594.0</v>
      </c>
      <c r="D844" s="8" t="s">
        <v>5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12">
        <v>44.0</v>
      </c>
      <c r="C845" s="14">
        <v>45594.0</v>
      </c>
      <c r="D845" s="8" t="s">
        <v>5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12">
        <v>34.0</v>
      </c>
      <c r="C846" s="14">
        <v>45594.0</v>
      </c>
      <c r="D846" s="8" t="s">
        <v>5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12">
        <v>32.0</v>
      </c>
      <c r="C847" s="14">
        <v>45594.0</v>
      </c>
      <c r="D847" s="8" t="s">
        <v>5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12">
        <v>57.0</v>
      </c>
      <c r="C848" s="14">
        <v>45594.0</v>
      </c>
      <c r="D848" s="8" t="s">
        <v>5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12">
        <v>46.0</v>
      </c>
      <c r="C849" s="14">
        <v>45594.0</v>
      </c>
      <c r="D849" s="8" t="s">
        <v>5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12">
        <v>49.0</v>
      </c>
      <c r="C850" s="14">
        <v>45594.0</v>
      </c>
      <c r="D850" s="8" t="s">
        <v>5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12">
        <v>45.0</v>
      </c>
      <c r="C851" s="14">
        <v>45594.0</v>
      </c>
      <c r="D851" s="8" t="s">
        <v>5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12">
        <v>40.0</v>
      </c>
      <c r="C852" s="14">
        <v>45594.0</v>
      </c>
      <c r="D852" s="8" t="s">
        <v>5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12">
        <v>49.0</v>
      </c>
      <c r="C853" s="14">
        <v>45594.0</v>
      </c>
      <c r="D853" s="8" t="s">
        <v>5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12">
        <v>49.0</v>
      </c>
      <c r="C854" s="14">
        <v>45594.0</v>
      </c>
      <c r="D854" s="8" t="s">
        <v>5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12">
        <v>49.0</v>
      </c>
      <c r="C855" s="14">
        <v>45595.0</v>
      </c>
      <c r="D855" s="8" t="s">
        <v>5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12">
        <v>44.0</v>
      </c>
      <c r="C856" s="14">
        <v>45595.0</v>
      </c>
      <c r="D856" s="8" t="s">
        <v>5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12">
        <v>30.0</v>
      </c>
      <c r="C857" s="14">
        <v>45595.0</v>
      </c>
      <c r="D857" s="8" t="s">
        <v>5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12">
        <v>39.0</v>
      </c>
      <c r="C858" s="14">
        <v>45595.0</v>
      </c>
      <c r="D858" s="8" t="s">
        <v>5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12">
        <v>47.0</v>
      </c>
      <c r="C859" s="14">
        <v>45596.0</v>
      </c>
      <c r="D859" s="8" t="s">
        <v>5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12">
        <v>29.0</v>
      </c>
      <c r="C860" s="14">
        <v>45596.0</v>
      </c>
      <c r="D860" s="8" t="s">
        <v>5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12">
        <v>46.0</v>
      </c>
      <c r="C861" s="14">
        <v>45596.0</v>
      </c>
      <c r="D861" s="8" t="s">
        <v>5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12">
        <v>38.0</v>
      </c>
      <c r="C862" s="14">
        <v>45596.0</v>
      </c>
      <c r="D862" s="8" t="s">
        <v>5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12">
        <v>54.0</v>
      </c>
      <c r="C863" s="14">
        <v>45596.0</v>
      </c>
      <c r="D863" s="8" t="s">
        <v>5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12">
        <v>54.0</v>
      </c>
      <c r="C864" s="14">
        <v>45596.0</v>
      </c>
      <c r="D864" s="8" t="s">
        <v>5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12">
        <v>49.0</v>
      </c>
      <c r="C865" s="13">
        <v>45597.0</v>
      </c>
      <c r="D865" s="8" t="s">
        <v>5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12">
        <v>31.0</v>
      </c>
      <c r="C866" s="13">
        <v>45597.0</v>
      </c>
      <c r="D866" s="8" t="s">
        <v>5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12">
        <v>41.0</v>
      </c>
      <c r="C867" s="13">
        <v>45597.0</v>
      </c>
      <c r="D867" s="8" t="s">
        <v>5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12">
        <v>46.0</v>
      </c>
      <c r="C868" s="13">
        <v>45597.0</v>
      </c>
      <c r="D868" s="8" t="s">
        <v>5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12">
        <v>33.0</v>
      </c>
      <c r="C869" s="13">
        <v>45600.0</v>
      </c>
      <c r="D869" s="8" t="s">
        <v>5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12">
        <v>47.0</v>
      </c>
      <c r="C870" s="13">
        <v>45600.0</v>
      </c>
      <c r="D870" s="8" t="s">
        <v>5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12">
        <v>52.0</v>
      </c>
      <c r="C871" s="13">
        <v>45600.0</v>
      </c>
      <c r="D871" s="8" t="s">
        <v>5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12">
        <v>48.0</v>
      </c>
      <c r="C872" s="13">
        <v>45601.0</v>
      </c>
      <c r="D872" s="8" t="s">
        <v>5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12">
        <v>45.0</v>
      </c>
      <c r="C873" s="13">
        <v>45601.0</v>
      </c>
      <c r="D873" s="8" t="s">
        <v>5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12">
        <v>63.0</v>
      </c>
      <c r="C874" s="13">
        <v>45601.0</v>
      </c>
      <c r="D874" s="8" t="s">
        <v>5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12">
        <v>55.0</v>
      </c>
      <c r="C875" s="13">
        <v>45601.0</v>
      </c>
      <c r="D875" s="8" t="s">
        <v>5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12">
        <v>27.0</v>
      </c>
      <c r="C876" s="13">
        <v>45602.0</v>
      </c>
      <c r="D876" s="8" t="s">
        <v>5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12">
        <v>34.0</v>
      </c>
      <c r="C877" s="13">
        <v>45602.0</v>
      </c>
      <c r="D877" s="8" t="s">
        <v>5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12">
        <v>45.0</v>
      </c>
      <c r="C878" s="13">
        <v>45602.0</v>
      </c>
      <c r="D878" s="8" t="s">
        <v>5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12">
        <v>36.0</v>
      </c>
      <c r="C879" s="13">
        <v>45602.0</v>
      </c>
      <c r="D879" s="8" t="s">
        <v>5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12">
        <v>45.0</v>
      </c>
      <c r="C880" s="13">
        <v>45602.0</v>
      </c>
      <c r="D880" s="8" t="s">
        <v>5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12">
        <v>42.0</v>
      </c>
      <c r="C881" s="13">
        <v>45602.0</v>
      </c>
      <c r="D881" s="8" t="s">
        <v>5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12">
        <v>61.0</v>
      </c>
      <c r="C882" s="13">
        <v>45602.0</v>
      </c>
      <c r="D882" s="8" t="s">
        <v>5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12">
        <v>36.0</v>
      </c>
      <c r="C883" s="13">
        <v>45603.0</v>
      </c>
      <c r="D883" s="8" t="s">
        <v>5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12">
        <v>29.0</v>
      </c>
      <c r="C884" s="13">
        <v>45603.0</v>
      </c>
      <c r="D884" s="8" t="s">
        <v>5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12">
        <v>46.0</v>
      </c>
      <c r="C885" s="13">
        <v>45603.0</v>
      </c>
      <c r="D885" s="8" t="s">
        <v>5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12">
        <v>52.0</v>
      </c>
      <c r="C886" s="13">
        <v>45603.0</v>
      </c>
      <c r="D886" s="8" t="s">
        <v>5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12">
        <v>49.0</v>
      </c>
      <c r="C887" s="13">
        <v>45604.0</v>
      </c>
      <c r="D887" s="8" t="s">
        <v>5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12">
        <v>32.0</v>
      </c>
      <c r="C888" s="13">
        <v>45604.0</v>
      </c>
      <c r="D888" s="8" t="s">
        <v>5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12">
        <v>31.0</v>
      </c>
      <c r="C889" s="13">
        <v>45604.0</v>
      </c>
      <c r="D889" s="8" t="s">
        <v>5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12">
        <v>26.0</v>
      </c>
      <c r="C890" s="13">
        <v>45604.0</v>
      </c>
      <c r="D890" s="8" t="s">
        <v>5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12">
        <v>37.0</v>
      </c>
      <c r="C891" s="14">
        <v>45607.0</v>
      </c>
      <c r="D891" s="8" t="s">
        <v>5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12">
        <v>37.0</v>
      </c>
      <c r="C892" s="14">
        <v>45607.0</v>
      </c>
      <c r="D892" s="8" t="s">
        <v>5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12">
        <v>43.0</v>
      </c>
      <c r="C893" s="14">
        <v>45607.0</v>
      </c>
      <c r="D893" s="12" t="s">
        <v>15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12">
        <v>27.0</v>
      </c>
      <c r="C894" s="14">
        <v>45607.0</v>
      </c>
      <c r="D894" s="12" t="s">
        <v>11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12">
        <v>43.0</v>
      </c>
      <c r="C895" s="14">
        <v>45607.0</v>
      </c>
      <c r="D895" s="8" t="s">
        <v>5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12">
        <v>44.0</v>
      </c>
      <c r="C896" s="14">
        <v>45607.0</v>
      </c>
      <c r="D896" s="12" t="s">
        <v>14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12">
        <v>39.0</v>
      </c>
      <c r="C897" s="14">
        <v>45607.0</v>
      </c>
      <c r="D897" s="8" t="s">
        <v>5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12">
        <v>49.0</v>
      </c>
      <c r="C898" s="14">
        <v>45608.0</v>
      </c>
      <c r="D898" s="8" t="s">
        <v>5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12">
        <v>28.0</v>
      </c>
      <c r="C899" s="14">
        <v>45608.0</v>
      </c>
      <c r="D899" s="8" t="s">
        <v>5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12">
        <v>44.0</v>
      </c>
      <c r="C900" s="14">
        <v>45608.0</v>
      </c>
      <c r="D900" s="8" t="s">
        <v>5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12">
        <v>34.0</v>
      </c>
      <c r="C901" s="14">
        <v>45608.0</v>
      </c>
      <c r="D901" s="8" t="s">
        <v>5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12">
        <v>45.0</v>
      </c>
      <c r="C902" s="14">
        <v>45608.0</v>
      </c>
      <c r="D902" s="8" t="s">
        <v>5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12">
        <v>54.0</v>
      </c>
      <c r="C903" s="14">
        <v>45608.0</v>
      </c>
      <c r="D903" s="8" t="s">
        <v>5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12">
        <v>35.0</v>
      </c>
      <c r="C904" s="14">
        <v>45609.0</v>
      </c>
      <c r="D904" s="8" t="s">
        <v>5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12">
        <v>43.0</v>
      </c>
      <c r="C905" s="14">
        <v>45609.0</v>
      </c>
      <c r="D905" s="8" t="s">
        <v>5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12">
        <v>34.0</v>
      </c>
      <c r="C906" s="14">
        <v>45609.0</v>
      </c>
      <c r="D906" s="8" t="s">
        <v>5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12">
        <v>44.0</v>
      </c>
      <c r="C907" s="14">
        <v>45609.0</v>
      </c>
      <c r="D907" s="8" t="s">
        <v>5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12">
        <v>29.0</v>
      </c>
      <c r="C908" s="14">
        <v>45609.0</v>
      </c>
      <c r="D908" s="8" t="s">
        <v>5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12">
        <v>37.0</v>
      </c>
      <c r="C909" s="14">
        <v>45609.0</v>
      </c>
      <c r="D909" s="8" t="s">
        <v>5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12">
        <v>62.0</v>
      </c>
      <c r="C910" s="14">
        <v>45609.0</v>
      </c>
      <c r="D910" s="8" t="s">
        <v>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12">
        <v>53.0</v>
      </c>
      <c r="C911" s="14">
        <v>45609.0</v>
      </c>
      <c r="D911" s="8" t="s">
        <v>5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12">
        <v>42.0</v>
      </c>
      <c r="C912" s="14">
        <v>45609.0</v>
      </c>
      <c r="D912" s="8" t="s">
        <v>5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12">
        <v>40.0</v>
      </c>
      <c r="C913" s="14">
        <v>45609.0</v>
      </c>
      <c r="D913" s="8" t="s">
        <v>5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12">
        <v>38.0</v>
      </c>
      <c r="C914" s="14">
        <v>45610.0</v>
      </c>
      <c r="D914" s="8" t="s">
        <v>5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12">
        <v>54.0</v>
      </c>
      <c r="C915" s="14">
        <v>45610.0</v>
      </c>
      <c r="D915" s="8" t="s">
        <v>5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12">
        <v>35.0</v>
      </c>
      <c r="C916" s="14">
        <v>45610.0</v>
      </c>
      <c r="D916" s="8" t="s">
        <v>5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12">
        <v>54.0</v>
      </c>
      <c r="C917" s="14">
        <v>45610.0</v>
      </c>
      <c r="D917" s="8" t="s">
        <v>5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12">
        <v>51.0</v>
      </c>
      <c r="C918" s="14">
        <v>45610.0</v>
      </c>
      <c r="D918" s="8" t="s">
        <v>5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12">
        <v>32.0</v>
      </c>
      <c r="C919" s="14">
        <v>45610.0</v>
      </c>
      <c r="D919" s="8" t="s">
        <v>5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12">
        <v>45.0</v>
      </c>
      <c r="C920" s="14">
        <v>45610.0</v>
      </c>
      <c r="D920" s="8" t="s">
        <v>5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12">
        <v>39.0</v>
      </c>
      <c r="C921" s="14">
        <v>45614.0</v>
      </c>
      <c r="D921" s="8" t="s">
        <v>5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12">
        <v>43.0</v>
      </c>
      <c r="C922" s="14">
        <v>45614.0</v>
      </c>
      <c r="D922" s="8" t="s">
        <v>5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12">
        <v>51.0</v>
      </c>
      <c r="C923" s="14">
        <v>45614.0</v>
      </c>
      <c r="D923" s="8" t="s">
        <v>5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12">
        <v>40.0</v>
      </c>
      <c r="C924" s="14">
        <v>45614.0</v>
      </c>
      <c r="D924" s="8" t="s">
        <v>5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12">
        <v>38.0</v>
      </c>
      <c r="C925" s="14">
        <v>45615.0</v>
      </c>
      <c r="D925" s="8" t="s">
        <v>5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12">
        <v>49.0</v>
      </c>
      <c r="C926" s="14">
        <v>45615.0</v>
      </c>
      <c r="D926" s="12" t="s">
        <v>15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12">
        <v>58.0</v>
      </c>
      <c r="C927" s="14">
        <v>45615.0</v>
      </c>
      <c r="D927" s="12" t="s">
        <v>15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12">
        <v>44.0</v>
      </c>
      <c r="C928" s="14">
        <v>45615.0</v>
      </c>
      <c r="D928" s="8" t="s">
        <v>5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12">
        <v>49.0</v>
      </c>
      <c r="C929" s="14">
        <v>45615.0</v>
      </c>
      <c r="D929" s="12" t="s">
        <v>11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12">
        <v>40.0</v>
      </c>
      <c r="C930" s="14">
        <v>45617.0</v>
      </c>
      <c r="D930" s="8" t="s">
        <v>5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12">
        <v>58.0</v>
      </c>
      <c r="C931" s="14">
        <v>45617.0</v>
      </c>
      <c r="D931" s="8" t="s">
        <v>5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12">
        <v>45.0</v>
      </c>
      <c r="C932" s="14">
        <v>45617.0</v>
      </c>
      <c r="D932" s="8" t="s">
        <v>5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12">
        <v>57.0</v>
      </c>
      <c r="C933" s="14">
        <v>45617.0</v>
      </c>
      <c r="D933" s="12" t="s">
        <v>14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12">
        <v>57.0</v>
      </c>
      <c r="C934" s="14">
        <v>45618.0</v>
      </c>
      <c r="D934" s="8" t="s">
        <v>5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12">
        <v>52.0</v>
      </c>
      <c r="C935" s="14">
        <v>45618.0</v>
      </c>
      <c r="D935" s="8" t="s">
        <v>5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12">
        <v>46.0</v>
      </c>
      <c r="C936" s="14">
        <v>45618.0</v>
      </c>
      <c r="D936" s="8" t="s">
        <v>5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12">
        <v>38.0</v>
      </c>
      <c r="C937" s="14">
        <v>45618.0</v>
      </c>
      <c r="D937" s="8" t="s">
        <v>5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12">
        <v>43.0</v>
      </c>
      <c r="C938" s="14">
        <v>45618.0</v>
      </c>
      <c r="D938" s="8" t="s">
        <v>5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12">
        <v>26.0</v>
      </c>
      <c r="C939" s="14">
        <v>45618.0</v>
      </c>
      <c r="D939" s="8" t="s">
        <v>5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12">
        <v>31.0</v>
      </c>
      <c r="C940" s="14">
        <v>45618.0</v>
      </c>
      <c r="D940" s="8" t="s">
        <v>5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12">
        <v>42.0</v>
      </c>
      <c r="C941" s="14">
        <v>45621.0</v>
      </c>
      <c r="D941" s="12" t="s">
        <v>15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12">
        <v>29.0</v>
      </c>
      <c r="C942" s="14">
        <v>45621.0</v>
      </c>
      <c r="D942" s="8" t="s">
        <v>5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12">
        <v>27.0</v>
      </c>
      <c r="C943" s="14">
        <v>45622.0</v>
      </c>
      <c r="D943" s="8" t="s">
        <v>5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12">
        <v>45.0</v>
      </c>
      <c r="C944" s="14">
        <v>45622.0</v>
      </c>
      <c r="D944" s="8" t="s">
        <v>5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12">
        <v>39.0</v>
      </c>
      <c r="C945" s="14">
        <v>45622.0</v>
      </c>
      <c r="D945" s="8" t="s">
        <v>5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12">
        <v>29.0</v>
      </c>
      <c r="C946" s="14">
        <v>45622.0</v>
      </c>
      <c r="D946" s="8" t="s">
        <v>5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12">
        <v>29.0</v>
      </c>
      <c r="C947" s="14">
        <v>45622.0</v>
      </c>
      <c r="D947" s="8" t="s">
        <v>5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12">
        <v>44.0</v>
      </c>
      <c r="C948" s="14">
        <v>45622.0</v>
      </c>
      <c r="D948" s="8" t="s">
        <v>5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12">
        <v>55.0</v>
      </c>
      <c r="C949" s="14">
        <v>45622.0</v>
      </c>
      <c r="D949" s="8" t="s">
        <v>5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12">
        <v>31.0</v>
      </c>
      <c r="C950" s="14">
        <v>45622.0</v>
      </c>
      <c r="D950" s="8" t="s">
        <v>5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12">
        <v>44.0</v>
      </c>
      <c r="C951" s="14">
        <v>45622.0</v>
      </c>
      <c r="D951" s="8" t="s">
        <v>5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12">
        <v>51.0</v>
      </c>
      <c r="C952" s="14">
        <v>45622.0</v>
      </c>
      <c r="D952" s="8" t="s">
        <v>5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12">
        <v>34.0</v>
      </c>
      <c r="C953" s="14">
        <v>45623.0</v>
      </c>
      <c r="D953" s="8" t="s">
        <v>5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12">
        <v>32.0</v>
      </c>
      <c r="C954" s="14">
        <v>45623.0</v>
      </c>
      <c r="D954" s="8" t="s">
        <v>5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12">
        <v>44.0</v>
      </c>
      <c r="C955" s="14">
        <v>45623.0</v>
      </c>
      <c r="D955" s="8" t="s">
        <v>5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12">
        <v>35.0</v>
      </c>
      <c r="C956" s="14">
        <v>45623.0</v>
      </c>
      <c r="D956" s="8" t="s">
        <v>5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12">
        <v>40.0</v>
      </c>
      <c r="C957" s="14">
        <v>45623.0</v>
      </c>
      <c r="D957" s="8" t="s">
        <v>5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12">
        <v>45.0</v>
      </c>
      <c r="C958" s="14">
        <v>45623.0</v>
      </c>
      <c r="D958" s="8" t="s">
        <v>5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12">
        <v>43.0</v>
      </c>
      <c r="C959" s="14">
        <v>45623.0</v>
      </c>
      <c r="D959" s="8" t="s">
        <v>5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12">
        <v>42.0</v>
      </c>
      <c r="C960" s="14">
        <v>45623.0</v>
      </c>
      <c r="D960" s="8" t="s">
        <v>5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12">
        <v>43.0</v>
      </c>
      <c r="C961" s="14">
        <v>45624.0</v>
      </c>
      <c r="D961" s="8" t="s">
        <v>5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12">
        <v>56.0</v>
      </c>
      <c r="C962" s="14">
        <v>45624.0</v>
      </c>
      <c r="D962" s="8" t="s">
        <v>5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12">
        <v>35.0</v>
      </c>
      <c r="C963" s="14">
        <v>45624.0</v>
      </c>
      <c r="D963" s="8" t="s">
        <v>5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12">
        <v>26.0</v>
      </c>
      <c r="C964" s="14">
        <v>45624.0</v>
      </c>
      <c r="D964" s="8" t="s">
        <v>5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12">
        <v>45.0</v>
      </c>
      <c r="C965" s="14">
        <v>45624.0</v>
      </c>
      <c r="D965" s="8" t="s">
        <v>5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12">
        <v>55.0</v>
      </c>
      <c r="C966" s="14">
        <v>45624.0</v>
      </c>
      <c r="D966" s="8" t="s">
        <v>5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12">
        <v>38.0</v>
      </c>
      <c r="C967" s="14">
        <v>45625.0</v>
      </c>
      <c r="D967" s="8" t="s">
        <v>5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12">
        <v>42.0</v>
      </c>
      <c r="C968" s="14">
        <v>45625.0</v>
      </c>
      <c r="D968" s="8" t="s">
        <v>5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12">
        <v>49.0</v>
      </c>
      <c r="C969" s="14">
        <v>45625.0</v>
      </c>
      <c r="D969" s="8" t="s">
        <v>5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12">
        <v>49.0</v>
      </c>
      <c r="C970" s="14">
        <v>45625.0</v>
      </c>
      <c r="D970" s="8" t="s">
        <v>5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12">
        <v>51.0</v>
      </c>
      <c r="C971" s="14">
        <v>45625.0</v>
      </c>
      <c r="D971" s="8" t="s">
        <v>5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12">
        <v>51.0</v>
      </c>
      <c r="C972" s="14">
        <v>45625.0</v>
      </c>
      <c r="D972" s="8" t="s">
        <v>5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12">
        <v>47.0</v>
      </c>
      <c r="C973" s="13">
        <v>45628.0</v>
      </c>
      <c r="D973" s="8" t="s">
        <v>5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12">
        <v>62.0</v>
      </c>
      <c r="C974" s="13">
        <v>45628.0</v>
      </c>
      <c r="D974" s="8" t="s">
        <v>5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12">
        <v>53.0</v>
      </c>
      <c r="C975" s="13">
        <v>45628.0</v>
      </c>
      <c r="D975" s="8" t="s">
        <v>5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12">
        <v>49.0</v>
      </c>
      <c r="C976" s="13">
        <v>45628.0</v>
      </c>
      <c r="D976" s="8" t="s">
        <v>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12">
        <v>45.0</v>
      </c>
      <c r="C977" s="13">
        <v>45628.0</v>
      </c>
      <c r="D977" s="8" t="s">
        <v>5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12">
        <v>44.0</v>
      </c>
      <c r="C978" s="13">
        <v>45628.0</v>
      </c>
      <c r="D978" s="8" t="s">
        <v>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12">
        <v>44.0</v>
      </c>
      <c r="C979" s="13">
        <v>45628.0</v>
      </c>
      <c r="D979" s="8" t="s">
        <v>5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12">
        <v>45.0</v>
      </c>
      <c r="C980" s="13">
        <v>45628.0</v>
      </c>
      <c r="D980" s="8" t="s">
        <v>5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12">
        <v>54.0</v>
      </c>
      <c r="C981" s="13">
        <v>45629.0</v>
      </c>
      <c r="D981" s="8" t="s">
        <v>5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12">
        <v>28.0</v>
      </c>
      <c r="C982" s="13">
        <v>45629.0</v>
      </c>
      <c r="D982" s="8" t="s">
        <v>5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12">
        <v>31.0</v>
      </c>
      <c r="C983" s="13">
        <v>45629.0</v>
      </c>
      <c r="D983" s="8" t="s">
        <v>5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12">
        <v>48.0</v>
      </c>
      <c r="C984" s="13">
        <v>45629.0</v>
      </c>
      <c r="D984" s="8" t="s">
        <v>5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12">
        <v>35.0</v>
      </c>
      <c r="C985" s="13">
        <v>45629.0</v>
      </c>
      <c r="D985" s="8" t="s">
        <v>5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12">
        <v>44.0</v>
      </c>
      <c r="C986" s="13">
        <v>45629.0</v>
      </c>
      <c r="D986" s="8" t="s">
        <v>5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12">
        <v>32.0</v>
      </c>
      <c r="C987" s="13">
        <v>45629.0</v>
      </c>
      <c r="D987" s="8" t="s">
        <v>5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12">
        <v>47.0</v>
      </c>
      <c r="C988" s="13">
        <v>45630.0</v>
      </c>
      <c r="D988" s="8" t="s">
        <v>5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12">
        <v>45.0</v>
      </c>
      <c r="C989" s="13">
        <v>45630.0</v>
      </c>
      <c r="D989" s="8" t="s">
        <v>5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12">
        <v>39.0</v>
      </c>
      <c r="C990" s="13">
        <v>45630.0</v>
      </c>
      <c r="D990" s="12" t="s">
        <v>12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12">
        <v>41.0</v>
      </c>
      <c r="C991" s="13">
        <v>45631.0</v>
      </c>
      <c r="D991" s="8" t="s">
        <v>5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12">
        <v>54.0</v>
      </c>
      <c r="C992" s="13">
        <v>45631.0</v>
      </c>
      <c r="D992" s="12" t="s">
        <v>13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12">
        <v>57.0</v>
      </c>
      <c r="C993" s="13">
        <v>45631.0</v>
      </c>
      <c r="D993" s="8" t="s">
        <v>5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12">
        <v>48.0</v>
      </c>
      <c r="C994" s="13">
        <v>45632.0</v>
      </c>
      <c r="D994" s="8" t="s">
        <v>5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12">
        <v>28.0</v>
      </c>
      <c r="C995" s="13">
        <v>45632.0</v>
      </c>
      <c r="D995" s="8" t="s">
        <v>5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12">
        <v>26.0</v>
      </c>
      <c r="C996" s="13">
        <v>45632.0</v>
      </c>
      <c r="D996" s="8" t="s">
        <v>5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12">
        <v>34.0</v>
      </c>
      <c r="C997" s="13">
        <v>45632.0</v>
      </c>
      <c r="D997" s="8" t="s">
        <v>5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12">
        <v>55.0</v>
      </c>
      <c r="C998" s="13">
        <v>45632.0</v>
      </c>
      <c r="D998" s="8" t="s">
        <v>5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12">
        <v>41.0</v>
      </c>
      <c r="C999" s="13">
        <v>45632.0</v>
      </c>
      <c r="D999" s="8" t="s">
        <v>5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12">
        <v>46.0</v>
      </c>
      <c r="C1000" s="13">
        <v>45632.0</v>
      </c>
      <c r="D1000" s="8" t="s">
        <v>5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12">
        <v>35.0</v>
      </c>
      <c r="C1001" s="13">
        <v>45632.0</v>
      </c>
      <c r="D1001" s="8" t="s">
        <v>5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12">
        <v>41.0</v>
      </c>
      <c r="C1002" s="13">
        <v>45635.0</v>
      </c>
      <c r="D1002" s="8" t="s">
        <v>5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12">
        <v>61.0</v>
      </c>
      <c r="C1003" s="13">
        <v>45635.0</v>
      </c>
      <c r="D1003" s="8" t="s">
        <v>5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12">
        <v>36.0</v>
      </c>
      <c r="C1004" s="13">
        <v>45635.0</v>
      </c>
      <c r="D1004" s="8" t="s">
        <v>5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12">
        <v>46.0</v>
      </c>
      <c r="C1005" s="13">
        <v>45635.0</v>
      </c>
      <c r="D1005" s="12" t="s">
        <v>12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12">
        <v>55.0</v>
      </c>
      <c r="C1006" s="14">
        <v>45636.0</v>
      </c>
      <c r="D1006" s="8" t="s">
        <v>5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12">
        <v>57.0</v>
      </c>
      <c r="C1007" s="14">
        <v>45636.0</v>
      </c>
      <c r="D1007" s="8" t="s">
        <v>5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12">
        <v>28.0</v>
      </c>
      <c r="C1008" s="14">
        <v>45636.0</v>
      </c>
      <c r="D1008" s="8" t="s">
        <v>5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12">
        <v>51.0</v>
      </c>
      <c r="C1009" s="14">
        <v>45636.0</v>
      </c>
      <c r="D1009" s="8" t="s">
        <v>5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12">
        <v>33.0</v>
      </c>
      <c r="C1010" s="14">
        <v>45636.0</v>
      </c>
      <c r="D1010" s="12" t="s">
        <v>11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12">
        <v>42.0</v>
      </c>
      <c r="C1011" s="14">
        <v>45636.0</v>
      </c>
      <c r="D1011" s="8" t="s">
        <v>5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12">
        <v>28.0</v>
      </c>
      <c r="C1012" s="14">
        <v>45636.0</v>
      </c>
      <c r="D1012" s="8" t="s">
        <v>5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12">
        <v>27.0</v>
      </c>
      <c r="C1013" s="14">
        <v>45636.0</v>
      </c>
      <c r="D1013" s="8" t="s">
        <v>5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12">
        <v>45.0</v>
      </c>
      <c r="C1014" s="14">
        <v>45636.0</v>
      </c>
      <c r="D1014" s="8" t="s">
        <v>5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12">
        <v>36.0</v>
      </c>
      <c r="C1015" s="14">
        <v>45637.0</v>
      </c>
      <c r="D1015" s="8" t="s">
        <v>5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12">
        <v>52.0</v>
      </c>
      <c r="C1016" s="14">
        <v>45637.0</v>
      </c>
      <c r="D1016" s="8" t="s">
        <v>5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12">
        <v>45.0</v>
      </c>
      <c r="C1017" s="14">
        <v>45638.0</v>
      </c>
      <c r="D1017" s="8" t="s">
        <v>5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12">
        <v>42.0</v>
      </c>
      <c r="C1018" s="14">
        <v>45638.0</v>
      </c>
      <c r="D1018" s="8" t="s">
        <v>5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12">
        <v>45.0</v>
      </c>
      <c r="C1019" s="14">
        <v>45638.0</v>
      </c>
      <c r="D1019" s="8" t="s">
        <v>5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12">
        <v>64.0</v>
      </c>
      <c r="C1020" s="14">
        <v>45638.0</v>
      </c>
      <c r="D1020" s="8" t="s">
        <v>5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12">
        <v>50.0</v>
      </c>
      <c r="C1021" s="14">
        <v>45638.0</v>
      </c>
      <c r="D1021" s="8" t="s">
        <v>5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12">
        <v>51.0</v>
      </c>
      <c r="C1022" s="14">
        <v>45639.0</v>
      </c>
      <c r="D1022" s="8" t="s">
        <v>5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12">
        <v>28.0</v>
      </c>
      <c r="C1023" s="14">
        <v>45656.0</v>
      </c>
      <c r="D1023" s="12" t="s">
        <v>11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15"/>
      <c r="C1024" s="16"/>
      <c r="D1024" s="15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15"/>
      <c r="C1025" s="16"/>
      <c r="D1025" s="15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15"/>
      <c r="C1026" s="16"/>
      <c r="D1026" s="15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15"/>
      <c r="C1027" s="16"/>
      <c r="D1027" s="15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15"/>
      <c r="C1028" s="16"/>
      <c r="D1028" s="15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15"/>
      <c r="C1029" s="16"/>
      <c r="D1029" s="15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15"/>
      <c r="C1030" s="16"/>
      <c r="D1030" s="15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15"/>
      <c r="C1031" s="16"/>
      <c r="D1031" s="15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15"/>
      <c r="C1032" s="16"/>
      <c r="D1032" s="15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15"/>
      <c r="C1033" s="16"/>
      <c r="D1033" s="15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15"/>
      <c r="C1034" s="16"/>
      <c r="D1034" s="15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15"/>
      <c r="C1035" s="16"/>
      <c r="D1035" s="15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15"/>
      <c r="C1036" s="16"/>
      <c r="D1036" s="15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15"/>
      <c r="C1037" s="16"/>
      <c r="D1037" s="15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15"/>
      <c r="C1038" s="16"/>
      <c r="D1038" s="15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15"/>
      <c r="C1039" s="16"/>
      <c r="D1039" s="15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15"/>
      <c r="C1040" s="16"/>
      <c r="D1040" s="15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15"/>
      <c r="C1041" s="16"/>
      <c r="D1041" s="15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/>
      <c r="B1042" s="15"/>
      <c r="C1042" s="16"/>
      <c r="D1042" s="15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/>
      <c r="B1043" s="15"/>
      <c r="C1043" s="16"/>
      <c r="D1043" s="15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/>
      <c r="B1044" s="15"/>
      <c r="C1044" s="16"/>
      <c r="D1044" s="15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/>
      <c r="B1045" s="15"/>
      <c r="C1045" s="16"/>
      <c r="D1045" s="15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/>
      <c r="B1046" s="15"/>
      <c r="C1046" s="16"/>
      <c r="D1046" s="15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/>
      <c r="B1047" s="15"/>
      <c r="C1047" s="16"/>
      <c r="D1047" s="15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/>
      <c r="B1048" s="15"/>
      <c r="C1048" s="16"/>
      <c r="D1048" s="15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/>
      <c r="B1049" s="15"/>
      <c r="C1049" s="16"/>
      <c r="D1049" s="15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/>
      <c r="B1050" s="15"/>
      <c r="C1050" s="16"/>
      <c r="D1050" s="15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/>
      <c r="B1051" s="15"/>
      <c r="C1051" s="16"/>
      <c r="D1051" s="15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/>
      <c r="B1052" s="15"/>
      <c r="C1052" s="16"/>
      <c r="D1052" s="15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/>
      <c r="B1053" s="15"/>
      <c r="C1053" s="16"/>
      <c r="D1053" s="15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/>
      <c r="B1054" s="15"/>
      <c r="C1054" s="16"/>
      <c r="D1054" s="15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/>
      <c r="B1055" s="15"/>
      <c r="C1055" s="16"/>
      <c r="D1055" s="15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/>
      <c r="B1056" s="15"/>
      <c r="C1056" s="16"/>
      <c r="D1056" s="15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/>
      <c r="B1057" s="15"/>
      <c r="C1057" s="16"/>
      <c r="D1057" s="15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/>
      <c r="B1058" s="15"/>
      <c r="C1058" s="16"/>
      <c r="D1058" s="15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/>
      <c r="B1059" s="15"/>
      <c r="C1059" s="16"/>
      <c r="D1059" s="15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/>
      <c r="B1060" s="15"/>
      <c r="C1060" s="16"/>
      <c r="D1060" s="15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/>
      <c r="B1061" s="15"/>
      <c r="C1061" s="16"/>
      <c r="D1061" s="15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/>
      <c r="B1062" s="15"/>
      <c r="C1062" s="16"/>
      <c r="D1062" s="15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/>
      <c r="B1063" s="15"/>
      <c r="C1063" s="16"/>
      <c r="D1063" s="15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/>
      <c r="B1064" s="15"/>
      <c r="C1064" s="16"/>
      <c r="D1064" s="15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/>
      <c r="B1065" s="15"/>
      <c r="C1065" s="16"/>
      <c r="D1065" s="15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/>
      <c r="B1066" s="15"/>
      <c r="C1066" s="16"/>
      <c r="D1066" s="15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/>
      <c r="B1067" s="15"/>
      <c r="C1067" s="16"/>
      <c r="D1067" s="15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/>
      <c r="B1068" s="15"/>
      <c r="C1068" s="16"/>
      <c r="D1068" s="15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/>
      <c r="B1069" s="15"/>
      <c r="C1069" s="16"/>
      <c r="D1069" s="15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/>
      <c r="B1070" s="15"/>
      <c r="C1070" s="16"/>
      <c r="D1070" s="15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/>
      <c r="B1071" s="15"/>
      <c r="C1071" s="16"/>
      <c r="D1071" s="15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/>
      <c r="B1072" s="15"/>
      <c r="C1072" s="16"/>
      <c r="D1072" s="15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/>
      <c r="B1073" s="15"/>
      <c r="C1073" s="16"/>
      <c r="D1073" s="15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/>
      <c r="B1074" s="15"/>
      <c r="C1074" s="16"/>
      <c r="D1074" s="15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/>
      <c r="B1075" s="15"/>
      <c r="C1075" s="16"/>
      <c r="D1075" s="15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/>
      <c r="B1076" s="15"/>
      <c r="C1076" s="16"/>
      <c r="D1076" s="15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/>
      <c r="B1077" s="15"/>
      <c r="C1077" s="16"/>
      <c r="D1077" s="15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/>
      <c r="B1078" s="15"/>
      <c r="C1078" s="16"/>
      <c r="D1078" s="15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/>
      <c r="B1079" s="15"/>
      <c r="C1079" s="16"/>
      <c r="D1079" s="15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/>
      <c r="B1080" s="15"/>
      <c r="C1080" s="16"/>
      <c r="D1080" s="15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/>
      <c r="B1081" s="15"/>
      <c r="C1081" s="16"/>
      <c r="D1081" s="15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/>
      <c r="B1082" s="15"/>
      <c r="C1082" s="16"/>
      <c r="D1082" s="15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/>
      <c r="B1083" s="15"/>
      <c r="C1083" s="16"/>
      <c r="D1083" s="15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/>
      <c r="B1084" s="15"/>
      <c r="C1084" s="16"/>
      <c r="D1084" s="15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/>
      <c r="B1085" s="15"/>
      <c r="C1085" s="16"/>
      <c r="D1085" s="15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/>
      <c r="B1086" s="15"/>
      <c r="C1086" s="16"/>
      <c r="D1086" s="15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/>
      <c r="B1087" s="15"/>
      <c r="C1087" s="16"/>
      <c r="D1087" s="15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/>
      <c r="B1088" s="15"/>
      <c r="C1088" s="16"/>
      <c r="D1088" s="15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/>
      <c r="B1089" s="15"/>
      <c r="C1089" s="16"/>
      <c r="D1089" s="15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/>
      <c r="B1090" s="15"/>
      <c r="C1090" s="16"/>
      <c r="D1090" s="15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/>
      <c r="B1091" s="15"/>
      <c r="C1091" s="16"/>
      <c r="D1091" s="15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/>
      <c r="B1092" s="15"/>
      <c r="C1092" s="16"/>
      <c r="D1092" s="15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/>
      <c r="B1093" s="15"/>
      <c r="C1093" s="16"/>
      <c r="D1093" s="15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/>
      <c r="B1094" s="15"/>
      <c r="C1094" s="16"/>
      <c r="D1094" s="15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/>
      <c r="B1095" s="15"/>
      <c r="C1095" s="16"/>
      <c r="D1095" s="15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/>
      <c r="B1096" s="15"/>
      <c r="C1096" s="16"/>
      <c r="D1096" s="15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/>
      <c r="B1097" s="15"/>
      <c r="C1097" s="16"/>
      <c r="D1097" s="15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/>
      <c r="B1098" s="15"/>
      <c r="C1098" s="16"/>
      <c r="D1098" s="15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/>
      <c r="B1099" s="15"/>
      <c r="C1099" s="16"/>
      <c r="D1099" s="15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/>
      <c r="B1100" s="15"/>
      <c r="C1100" s="16"/>
      <c r="D1100" s="15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4"/>
      <c r="B1101" s="15"/>
      <c r="C1101" s="16"/>
      <c r="D1101" s="15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4"/>
      <c r="B1102" s="15"/>
      <c r="C1102" s="16"/>
      <c r="D1102" s="15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4"/>
      <c r="B1103" s="15"/>
      <c r="C1103" s="16"/>
      <c r="D1103" s="15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4"/>
      <c r="B1104" s="15"/>
      <c r="C1104" s="16"/>
      <c r="D1104" s="15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4"/>
      <c r="B1105" s="15"/>
      <c r="C1105" s="16"/>
      <c r="D1105" s="15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4"/>
      <c r="B1106" s="15"/>
      <c r="C1106" s="16"/>
      <c r="D1106" s="15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4"/>
      <c r="B1107" s="15"/>
      <c r="C1107" s="16"/>
      <c r="D1107" s="15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4"/>
      <c r="B1108" s="15"/>
      <c r="C1108" s="16"/>
      <c r="D1108" s="15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4"/>
      <c r="B1109" s="15"/>
      <c r="C1109" s="16"/>
      <c r="D1109" s="15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4"/>
      <c r="B1110" s="15"/>
      <c r="C1110" s="16"/>
      <c r="D1110" s="15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4"/>
      <c r="B1111" s="15"/>
      <c r="C1111" s="16"/>
      <c r="D1111" s="15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4"/>
      <c r="B1112" s="15"/>
      <c r="C1112" s="16"/>
      <c r="D1112" s="15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4"/>
      <c r="B1113" s="15"/>
      <c r="C1113" s="16"/>
      <c r="D1113" s="15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4"/>
      <c r="B1114" s="15"/>
      <c r="C1114" s="16"/>
      <c r="D1114" s="15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4"/>
      <c r="B1115" s="15"/>
      <c r="C1115" s="16"/>
      <c r="D1115" s="15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4"/>
      <c r="B1116" s="15"/>
      <c r="C1116" s="16"/>
      <c r="D1116" s="15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4"/>
      <c r="B1117" s="15"/>
      <c r="C1117" s="16"/>
      <c r="D1117" s="15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4"/>
      <c r="B1118" s="15"/>
      <c r="C1118" s="16"/>
      <c r="D1118" s="15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4"/>
      <c r="B1119" s="15"/>
      <c r="C1119" s="16"/>
      <c r="D1119" s="15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4"/>
      <c r="B1120" s="15"/>
      <c r="C1120" s="16"/>
      <c r="D1120" s="15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4"/>
      <c r="B1121" s="15"/>
      <c r="C1121" s="16"/>
      <c r="D1121" s="15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4"/>
      <c r="B1122" s="15"/>
      <c r="C1122" s="16"/>
      <c r="D1122" s="15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4"/>
      <c r="B1123" s="15"/>
      <c r="C1123" s="16"/>
      <c r="D1123" s="15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4"/>
      <c r="B1124" s="15"/>
      <c r="C1124" s="16"/>
      <c r="D1124" s="15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4"/>
      <c r="B1125" s="15"/>
      <c r="C1125" s="16"/>
      <c r="D1125" s="15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4"/>
      <c r="B1126" s="15"/>
      <c r="C1126" s="16"/>
      <c r="D1126" s="15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4"/>
      <c r="B1127" s="15"/>
      <c r="C1127" s="16"/>
      <c r="D1127" s="15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4"/>
      <c r="B1128" s="15"/>
      <c r="C1128" s="16"/>
      <c r="D1128" s="15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4"/>
      <c r="B1129" s="15"/>
      <c r="C1129" s="16"/>
      <c r="D1129" s="15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4"/>
      <c r="B1130" s="15"/>
      <c r="C1130" s="16"/>
      <c r="D1130" s="15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4"/>
      <c r="B1131" s="15"/>
      <c r="C1131" s="16"/>
      <c r="D1131" s="15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4"/>
      <c r="B1132" s="15"/>
      <c r="C1132" s="16"/>
      <c r="D1132" s="15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4"/>
      <c r="B1133" s="15"/>
      <c r="C1133" s="16"/>
      <c r="D1133" s="15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4"/>
      <c r="B1134" s="15"/>
      <c r="C1134" s="16"/>
      <c r="D1134" s="15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4"/>
      <c r="B1135" s="15"/>
      <c r="C1135" s="16"/>
      <c r="D1135" s="15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4"/>
      <c r="B1136" s="15"/>
      <c r="C1136" s="16"/>
      <c r="D1136" s="15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4"/>
      <c r="B1137" s="15"/>
      <c r="C1137" s="16"/>
      <c r="D1137" s="15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4"/>
      <c r="B1138" s="15"/>
      <c r="C1138" s="16"/>
      <c r="D1138" s="15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4"/>
      <c r="B1139" s="15"/>
      <c r="C1139" s="16"/>
      <c r="D1139" s="15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4"/>
      <c r="B1140" s="15"/>
      <c r="C1140" s="16"/>
      <c r="D1140" s="15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4"/>
      <c r="B1141" s="15"/>
      <c r="C1141" s="16"/>
      <c r="D1141" s="15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4"/>
      <c r="B1142" s="15"/>
      <c r="C1142" s="16"/>
      <c r="D1142" s="15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4"/>
      <c r="B1143" s="15"/>
      <c r="C1143" s="16"/>
      <c r="D1143" s="15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4"/>
      <c r="B1144" s="15"/>
      <c r="C1144" s="16"/>
      <c r="D1144" s="15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4"/>
      <c r="B1145" s="15"/>
      <c r="C1145" s="16"/>
      <c r="D1145" s="15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4"/>
      <c r="B1146" s="15"/>
      <c r="C1146" s="16"/>
      <c r="D1146" s="15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4"/>
      <c r="B1147" s="15"/>
      <c r="C1147" s="16"/>
      <c r="D1147" s="15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4"/>
      <c r="B1148" s="15"/>
      <c r="C1148" s="16"/>
      <c r="D1148" s="15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4"/>
      <c r="B1149" s="15"/>
      <c r="C1149" s="16"/>
      <c r="D1149" s="15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4"/>
      <c r="B1150" s="15"/>
      <c r="C1150" s="16"/>
      <c r="D1150" s="15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4"/>
      <c r="B1151" s="15"/>
      <c r="C1151" s="16"/>
      <c r="D1151" s="15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4"/>
      <c r="B1152" s="15"/>
      <c r="C1152" s="16"/>
      <c r="D1152" s="15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4"/>
      <c r="B1153" s="15"/>
      <c r="C1153" s="16"/>
      <c r="D1153" s="15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4"/>
      <c r="B1154" s="15"/>
      <c r="C1154" s="16"/>
      <c r="D1154" s="15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4"/>
      <c r="B1155" s="15"/>
      <c r="C1155" s="16"/>
      <c r="D1155" s="15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4"/>
      <c r="B1156" s="15"/>
      <c r="C1156" s="16"/>
      <c r="D1156" s="15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4"/>
      <c r="B1157" s="15"/>
      <c r="C1157" s="16"/>
      <c r="D1157" s="15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4"/>
      <c r="B1158" s="15"/>
      <c r="C1158" s="16"/>
      <c r="D1158" s="15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4"/>
      <c r="B1159" s="15"/>
      <c r="C1159" s="16"/>
      <c r="D1159" s="15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4"/>
      <c r="B1160" s="15"/>
      <c r="C1160" s="16"/>
      <c r="D1160" s="15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4"/>
      <c r="B1161" s="15"/>
      <c r="C1161" s="16"/>
      <c r="D1161" s="15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4"/>
      <c r="B1162" s="15"/>
      <c r="C1162" s="16"/>
      <c r="D1162" s="15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4"/>
      <c r="B1163" s="15"/>
      <c r="C1163" s="16"/>
      <c r="D1163" s="15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4"/>
      <c r="B1164" s="15"/>
      <c r="C1164" s="16"/>
      <c r="D1164" s="15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4"/>
      <c r="B1165" s="15"/>
      <c r="C1165" s="16"/>
      <c r="D1165" s="15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4"/>
      <c r="B1166" s="15"/>
      <c r="C1166" s="16"/>
      <c r="D1166" s="15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4"/>
      <c r="B1167" s="15"/>
      <c r="C1167" s="16"/>
      <c r="D1167" s="15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4"/>
      <c r="B1168" s="15"/>
      <c r="C1168" s="16"/>
      <c r="D1168" s="15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4"/>
      <c r="B1169" s="15"/>
      <c r="C1169" s="16"/>
      <c r="D1169" s="15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4"/>
      <c r="B1170" s="15"/>
      <c r="C1170" s="16"/>
      <c r="D1170" s="15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4"/>
      <c r="B1171" s="15"/>
      <c r="C1171" s="16"/>
      <c r="D1171" s="15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4"/>
      <c r="B1172" s="15"/>
      <c r="C1172" s="16"/>
      <c r="D1172" s="15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4"/>
      <c r="B1173" s="15"/>
      <c r="C1173" s="16"/>
      <c r="D1173" s="15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4"/>
      <c r="B1174" s="15"/>
      <c r="C1174" s="16"/>
      <c r="D1174" s="15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4"/>
      <c r="B1175" s="15"/>
      <c r="C1175" s="16"/>
      <c r="D1175" s="15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4"/>
      <c r="B1176" s="15"/>
      <c r="C1176" s="16"/>
      <c r="D1176" s="15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4"/>
      <c r="B1177" s="15"/>
      <c r="C1177" s="16"/>
      <c r="D1177" s="15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4"/>
      <c r="B1178" s="15"/>
      <c r="C1178" s="16"/>
      <c r="D1178" s="15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4"/>
      <c r="B1179" s="15"/>
      <c r="C1179" s="16"/>
      <c r="D1179" s="15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4"/>
      <c r="B1180" s="15"/>
      <c r="C1180" s="16"/>
      <c r="D1180" s="15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4"/>
      <c r="B1181" s="15"/>
      <c r="C1181" s="16"/>
      <c r="D1181" s="15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4"/>
      <c r="B1182" s="15"/>
      <c r="C1182" s="16"/>
      <c r="D1182" s="15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4"/>
      <c r="B1183" s="15"/>
      <c r="C1183" s="16"/>
      <c r="D1183" s="15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4"/>
      <c r="B1184" s="15"/>
      <c r="C1184" s="16"/>
      <c r="D1184" s="15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4"/>
      <c r="B1185" s="15"/>
      <c r="C1185" s="16"/>
      <c r="D1185" s="15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4"/>
      <c r="B1186" s="15"/>
      <c r="C1186" s="16"/>
      <c r="D1186" s="15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4"/>
      <c r="B1187" s="15"/>
      <c r="C1187" s="16"/>
      <c r="D1187" s="15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4"/>
      <c r="B1188" s="15"/>
      <c r="C1188" s="16"/>
      <c r="D1188" s="15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4"/>
      <c r="B1189" s="15"/>
      <c r="C1189" s="16"/>
      <c r="D1189" s="15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4"/>
      <c r="B1190" s="15"/>
      <c r="C1190" s="16"/>
      <c r="D1190" s="15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4"/>
      <c r="B1191" s="15"/>
      <c r="C1191" s="16"/>
      <c r="D1191" s="15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4"/>
      <c r="B1192" s="15"/>
      <c r="C1192" s="16"/>
      <c r="D1192" s="15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4"/>
      <c r="B1193" s="15"/>
      <c r="C1193" s="16"/>
      <c r="D1193" s="15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4"/>
      <c r="B1194" s="15"/>
      <c r="C1194" s="16"/>
      <c r="D1194" s="15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4"/>
      <c r="B1195" s="15"/>
      <c r="C1195" s="16"/>
      <c r="D1195" s="15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4"/>
      <c r="B1196" s="15"/>
      <c r="C1196" s="16"/>
      <c r="D1196" s="15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4"/>
      <c r="B1197" s="15"/>
      <c r="C1197" s="16"/>
      <c r="D1197" s="15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4"/>
      <c r="B1198" s="15"/>
      <c r="C1198" s="16"/>
      <c r="D1198" s="15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4"/>
      <c r="B1199" s="15"/>
      <c r="C1199" s="16"/>
      <c r="D1199" s="15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4"/>
      <c r="B1200" s="15"/>
      <c r="C1200" s="16"/>
      <c r="D1200" s="15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4"/>
      <c r="B1201" s="15"/>
      <c r="C1201" s="16"/>
      <c r="D1201" s="15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4"/>
      <c r="B1202" s="15"/>
      <c r="C1202" s="16"/>
      <c r="D1202" s="15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4"/>
      <c r="B1203" s="15"/>
      <c r="C1203" s="16"/>
      <c r="D1203" s="15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4"/>
      <c r="B1204" s="15"/>
      <c r="C1204" s="16"/>
      <c r="D1204" s="15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4"/>
      <c r="B1205" s="15"/>
      <c r="C1205" s="16"/>
      <c r="D1205" s="15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4"/>
      <c r="B1206" s="15"/>
      <c r="C1206" s="16"/>
      <c r="D1206" s="15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4"/>
      <c r="B1207" s="15"/>
      <c r="C1207" s="16"/>
      <c r="D1207" s="15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4"/>
      <c r="B1208" s="15"/>
      <c r="C1208" s="16"/>
      <c r="D1208" s="15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4"/>
      <c r="B1209" s="15"/>
      <c r="C1209" s="16"/>
      <c r="D1209" s="15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4"/>
      <c r="B1210" s="15"/>
      <c r="C1210" s="16"/>
      <c r="D1210" s="15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4"/>
      <c r="B1211" s="15"/>
      <c r="C1211" s="16"/>
      <c r="D1211" s="15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4"/>
      <c r="B1212" s="15"/>
      <c r="C1212" s="16"/>
      <c r="D1212" s="15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4"/>
      <c r="B1213" s="15"/>
      <c r="C1213" s="16"/>
      <c r="D1213" s="15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4"/>
      <c r="B1214" s="15"/>
      <c r="C1214" s="16"/>
      <c r="D1214" s="15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4"/>
      <c r="B1215" s="15"/>
      <c r="C1215" s="16"/>
      <c r="D1215" s="15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4"/>
      <c r="B1216" s="15"/>
      <c r="C1216" s="16"/>
      <c r="D1216" s="15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4"/>
      <c r="B1217" s="15"/>
      <c r="C1217" s="16"/>
      <c r="D1217" s="15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4"/>
      <c r="B1218" s="15"/>
      <c r="C1218" s="16"/>
      <c r="D1218" s="15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4"/>
      <c r="B1219" s="15"/>
      <c r="C1219" s="16"/>
      <c r="D1219" s="15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4"/>
      <c r="B1220" s="15"/>
      <c r="C1220" s="16"/>
      <c r="D1220" s="15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4"/>
      <c r="B1221" s="15"/>
      <c r="C1221" s="16"/>
      <c r="D1221" s="15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4"/>
      <c r="B1222" s="15"/>
      <c r="C1222" s="16"/>
      <c r="D1222" s="15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4"/>
      <c r="B1223" s="15"/>
      <c r="C1223" s="16"/>
      <c r="D1223" s="15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4"/>
      <c r="B1224" s="15"/>
      <c r="C1224" s="16"/>
      <c r="D1224" s="15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4"/>
      <c r="B1225" s="15"/>
      <c r="C1225" s="16"/>
      <c r="D1225" s="15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4"/>
      <c r="B1226" s="15"/>
      <c r="C1226" s="16"/>
      <c r="D1226" s="15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4"/>
      <c r="B1227" s="15"/>
      <c r="C1227" s="16"/>
      <c r="D1227" s="15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4"/>
      <c r="B1228" s="15"/>
      <c r="C1228" s="16"/>
      <c r="D1228" s="15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4"/>
      <c r="B1229" s="15"/>
      <c r="C1229" s="16"/>
      <c r="D1229" s="15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4"/>
      <c r="B1230" s="15"/>
      <c r="C1230" s="16"/>
      <c r="D1230" s="15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4"/>
      <c r="B1231" s="15"/>
      <c r="C1231" s="16"/>
      <c r="D1231" s="15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4"/>
      <c r="B1232" s="15"/>
      <c r="C1232" s="16"/>
      <c r="D1232" s="15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4"/>
      <c r="B1233" s="15"/>
      <c r="C1233" s="16"/>
      <c r="D1233" s="15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4"/>
      <c r="B1234" s="15"/>
      <c r="C1234" s="16"/>
      <c r="D1234" s="15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4"/>
      <c r="B1235" s="15"/>
      <c r="C1235" s="16"/>
      <c r="D1235" s="15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4"/>
      <c r="B1236" s="15"/>
      <c r="C1236" s="16"/>
      <c r="D1236" s="15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4"/>
      <c r="B1237" s="15"/>
      <c r="C1237" s="16"/>
      <c r="D1237" s="15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4"/>
      <c r="B1238" s="15"/>
      <c r="C1238" s="16"/>
      <c r="D1238" s="15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4"/>
      <c r="B1239" s="15"/>
      <c r="C1239" s="16"/>
      <c r="D1239" s="15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4"/>
      <c r="B1240" s="15"/>
      <c r="C1240" s="16"/>
      <c r="D1240" s="15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4"/>
      <c r="B1241" s="15"/>
      <c r="C1241" s="16"/>
      <c r="D1241" s="15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4"/>
      <c r="B1242" s="15"/>
      <c r="C1242" s="16"/>
      <c r="D1242" s="15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4"/>
      <c r="B1243" s="15"/>
      <c r="C1243" s="16"/>
      <c r="D1243" s="15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4"/>
      <c r="B1244" s="15"/>
      <c r="C1244" s="16"/>
      <c r="D1244" s="15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4"/>
      <c r="B1245" s="15"/>
      <c r="C1245" s="16"/>
      <c r="D1245" s="15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4"/>
      <c r="B1246" s="15"/>
      <c r="C1246" s="16"/>
      <c r="D1246" s="15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4"/>
      <c r="B1247" s="15"/>
      <c r="C1247" s="16"/>
      <c r="D1247" s="15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4"/>
      <c r="B1248" s="15"/>
      <c r="C1248" s="16"/>
      <c r="D1248" s="15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4"/>
      <c r="B1249" s="15"/>
      <c r="C1249" s="16"/>
      <c r="D1249" s="15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4"/>
      <c r="B1250" s="15"/>
      <c r="C1250" s="16"/>
      <c r="D1250" s="15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4"/>
      <c r="B1251" s="15"/>
      <c r="C1251" s="16"/>
      <c r="D1251" s="15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4"/>
      <c r="B1252" s="15"/>
      <c r="C1252" s="16"/>
      <c r="D1252" s="15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4"/>
      <c r="B1253" s="15"/>
      <c r="C1253" s="16"/>
      <c r="D1253" s="15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4"/>
      <c r="B1254" s="15"/>
      <c r="C1254" s="16"/>
      <c r="D1254" s="15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4"/>
      <c r="B1255" s="15"/>
      <c r="C1255" s="16"/>
      <c r="D1255" s="15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4"/>
      <c r="B1256" s="15"/>
      <c r="C1256" s="16"/>
      <c r="D1256" s="15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4"/>
      <c r="B1257" s="15"/>
      <c r="C1257" s="16"/>
      <c r="D1257" s="15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4"/>
      <c r="B1258" s="15"/>
      <c r="C1258" s="16"/>
      <c r="D1258" s="15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4"/>
      <c r="B1259" s="15"/>
      <c r="C1259" s="16"/>
      <c r="D1259" s="15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4"/>
      <c r="B1260" s="15"/>
      <c r="C1260" s="16"/>
      <c r="D1260" s="15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4"/>
      <c r="B1261" s="15"/>
      <c r="C1261" s="16"/>
      <c r="D1261" s="15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4"/>
      <c r="B1262" s="15"/>
      <c r="C1262" s="16"/>
      <c r="D1262" s="15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4"/>
      <c r="B1263" s="15"/>
      <c r="C1263" s="16"/>
      <c r="D1263" s="15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4"/>
      <c r="B1264" s="15"/>
      <c r="C1264" s="16"/>
      <c r="D1264" s="15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4"/>
      <c r="B1265" s="15"/>
      <c r="C1265" s="16"/>
      <c r="D1265" s="15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4"/>
      <c r="B1266" s="15"/>
      <c r="C1266" s="16"/>
      <c r="D1266" s="15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4"/>
      <c r="B1267" s="15"/>
      <c r="C1267" s="16"/>
      <c r="D1267" s="15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4"/>
      <c r="B1268" s="15"/>
      <c r="C1268" s="16"/>
      <c r="D1268" s="15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4"/>
      <c r="B1269" s="15"/>
      <c r="C1269" s="16"/>
      <c r="D1269" s="15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4"/>
      <c r="B1270" s="15"/>
      <c r="C1270" s="16"/>
      <c r="D1270" s="15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4"/>
      <c r="B1271" s="15"/>
      <c r="C1271" s="16"/>
      <c r="D1271" s="15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4"/>
      <c r="B1272" s="15"/>
      <c r="C1272" s="16"/>
      <c r="D1272" s="15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4"/>
      <c r="B1273" s="15"/>
      <c r="C1273" s="16"/>
      <c r="D1273" s="15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4"/>
      <c r="B1274" s="15"/>
      <c r="C1274" s="16"/>
      <c r="D1274" s="15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4"/>
      <c r="B1275" s="15"/>
      <c r="C1275" s="16"/>
      <c r="D1275" s="15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4"/>
      <c r="B1276" s="15"/>
      <c r="C1276" s="16"/>
      <c r="D1276" s="15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4"/>
      <c r="B1277" s="15"/>
      <c r="C1277" s="16"/>
      <c r="D1277" s="15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4"/>
      <c r="B1278" s="15"/>
      <c r="C1278" s="16"/>
      <c r="D1278" s="15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4"/>
      <c r="B1279" s="15"/>
      <c r="C1279" s="16"/>
      <c r="D1279" s="15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4"/>
      <c r="B1280" s="15"/>
      <c r="C1280" s="16"/>
      <c r="D1280" s="15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4"/>
      <c r="B1281" s="15"/>
      <c r="C1281" s="16"/>
      <c r="D1281" s="15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4"/>
      <c r="B1282" s="15"/>
      <c r="C1282" s="16"/>
      <c r="D1282" s="15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4"/>
      <c r="B1283" s="15"/>
      <c r="C1283" s="16"/>
      <c r="D1283" s="15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4"/>
      <c r="B1284" s="15"/>
      <c r="C1284" s="16"/>
      <c r="D1284" s="15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4"/>
      <c r="B1285" s="15"/>
      <c r="C1285" s="16"/>
      <c r="D1285" s="15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4"/>
      <c r="B1286" s="15"/>
      <c r="C1286" s="16"/>
      <c r="D1286" s="15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4"/>
      <c r="B1287" s="15"/>
      <c r="C1287" s="16"/>
      <c r="D1287" s="15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4"/>
      <c r="B1288" s="15"/>
      <c r="C1288" s="16"/>
      <c r="D1288" s="15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4"/>
      <c r="B1289" s="15"/>
      <c r="C1289" s="16"/>
      <c r="D1289" s="15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4"/>
      <c r="B1290" s="15"/>
      <c r="C1290" s="16"/>
      <c r="D1290" s="15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4"/>
      <c r="B1291" s="15"/>
      <c r="C1291" s="16"/>
      <c r="D1291" s="15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4"/>
      <c r="B1292" s="15"/>
      <c r="C1292" s="16"/>
      <c r="D1292" s="15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4"/>
      <c r="B1293" s="15"/>
      <c r="C1293" s="16"/>
      <c r="D1293" s="15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4"/>
      <c r="B1294" s="15"/>
      <c r="C1294" s="16"/>
      <c r="D1294" s="15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4"/>
      <c r="B1295" s="15"/>
      <c r="C1295" s="16"/>
      <c r="D1295" s="15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4"/>
      <c r="B1296" s="15"/>
      <c r="C1296" s="16"/>
      <c r="D1296" s="15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4"/>
      <c r="B1297" s="15"/>
      <c r="C1297" s="16"/>
      <c r="D1297" s="15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4"/>
      <c r="B1298" s="15"/>
      <c r="C1298" s="16"/>
      <c r="D1298" s="15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4"/>
      <c r="B1299" s="15"/>
      <c r="C1299" s="16"/>
      <c r="D1299" s="15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4"/>
      <c r="B1300" s="15"/>
      <c r="C1300" s="16"/>
      <c r="D1300" s="15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4"/>
      <c r="B1301" s="15"/>
      <c r="C1301" s="16"/>
      <c r="D1301" s="15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4"/>
      <c r="B1302" s="15"/>
      <c r="C1302" s="16"/>
      <c r="D1302" s="15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4"/>
      <c r="B1303" s="15"/>
      <c r="C1303" s="16"/>
      <c r="D1303" s="15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4"/>
      <c r="B1304" s="15"/>
      <c r="C1304" s="16"/>
      <c r="D1304" s="15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4"/>
      <c r="B1305" s="15"/>
      <c r="C1305" s="16"/>
      <c r="D1305" s="15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4"/>
      <c r="B1306" s="15"/>
      <c r="C1306" s="16"/>
      <c r="D1306" s="15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4"/>
      <c r="B1307" s="15"/>
      <c r="C1307" s="16"/>
      <c r="D1307" s="15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4"/>
      <c r="B1308" s="15"/>
      <c r="C1308" s="16"/>
      <c r="D1308" s="15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4"/>
      <c r="B1309" s="15"/>
      <c r="C1309" s="16"/>
      <c r="D1309" s="15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4"/>
      <c r="B1310" s="15"/>
      <c r="C1310" s="16"/>
      <c r="D1310" s="15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4"/>
      <c r="B1311" s="15"/>
      <c r="C1311" s="16"/>
      <c r="D1311" s="15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4"/>
      <c r="B1312" s="15"/>
      <c r="C1312" s="16"/>
      <c r="D1312" s="15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4"/>
      <c r="B1313" s="15"/>
      <c r="C1313" s="16"/>
      <c r="D1313" s="15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4"/>
      <c r="B1314" s="15"/>
      <c r="C1314" s="16"/>
      <c r="D1314" s="15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4"/>
      <c r="B1315" s="15"/>
      <c r="C1315" s="16"/>
      <c r="D1315" s="15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4"/>
      <c r="B1316" s="15"/>
      <c r="C1316" s="16"/>
      <c r="D1316" s="15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4"/>
      <c r="B1317" s="15"/>
      <c r="C1317" s="16"/>
      <c r="D1317" s="15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4"/>
      <c r="B1318" s="15"/>
      <c r="C1318" s="16"/>
      <c r="D1318" s="15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4"/>
      <c r="B1319" s="15"/>
      <c r="C1319" s="16"/>
      <c r="D1319" s="15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4"/>
      <c r="B1320" s="15"/>
      <c r="C1320" s="16"/>
      <c r="D1320" s="15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4"/>
      <c r="B1321" s="15"/>
      <c r="C1321" s="16"/>
      <c r="D1321" s="15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4"/>
      <c r="B1322" s="15"/>
      <c r="C1322" s="16"/>
      <c r="D1322" s="15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4"/>
      <c r="B1323" s="15"/>
      <c r="C1323" s="16"/>
      <c r="D1323" s="15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4"/>
      <c r="B1324" s="15"/>
      <c r="C1324" s="16"/>
      <c r="D1324" s="15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4"/>
      <c r="B1325" s="15"/>
      <c r="C1325" s="16"/>
      <c r="D1325" s="15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4"/>
      <c r="B1326" s="15"/>
      <c r="C1326" s="16"/>
      <c r="D1326" s="15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4"/>
      <c r="B1327" s="15"/>
      <c r="C1327" s="16"/>
      <c r="D1327" s="15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4"/>
      <c r="B1328" s="15"/>
      <c r="C1328" s="16"/>
      <c r="D1328" s="15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4"/>
      <c r="B1329" s="15"/>
      <c r="C1329" s="16"/>
      <c r="D1329" s="15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4"/>
      <c r="B1330" s="15"/>
      <c r="C1330" s="16"/>
      <c r="D1330" s="15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4"/>
      <c r="B1331" s="15"/>
      <c r="C1331" s="16"/>
      <c r="D1331" s="15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4"/>
      <c r="B1332" s="15"/>
      <c r="C1332" s="16"/>
      <c r="D1332" s="15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4"/>
      <c r="B1333" s="15"/>
      <c r="C1333" s="16"/>
      <c r="D1333" s="15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4"/>
      <c r="B1334" s="15"/>
      <c r="C1334" s="16"/>
      <c r="D1334" s="15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4"/>
      <c r="B1335" s="15"/>
      <c r="C1335" s="16"/>
      <c r="D1335" s="15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4"/>
      <c r="B1336" s="15"/>
      <c r="C1336" s="16"/>
      <c r="D1336" s="15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4"/>
      <c r="B1337" s="15"/>
      <c r="C1337" s="16"/>
      <c r="D1337" s="15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4"/>
      <c r="B1338" s="15"/>
      <c r="C1338" s="16"/>
      <c r="D1338" s="15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4"/>
      <c r="B1339" s="15"/>
      <c r="C1339" s="16"/>
      <c r="D1339" s="15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4"/>
      <c r="B1340" s="15"/>
      <c r="C1340" s="16"/>
      <c r="D1340" s="15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4"/>
      <c r="B1341" s="15"/>
      <c r="C1341" s="16"/>
      <c r="D1341" s="15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4"/>
      <c r="B1342" s="15"/>
      <c r="C1342" s="16"/>
      <c r="D1342" s="15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4"/>
      <c r="B1343" s="15"/>
      <c r="C1343" s="16"/>
      <c r="D1343" s="15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4"/>
      <c r="B1344" s="15"/>
      <c r="C1344" s="16"/>
      <c r="D1344" s="15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4"/>
      <c r="B1345" s="15"/>
      <c r="C1345" s="16"/>
      <c r="D1345" s="15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4"/>
      <c r="B1346" s="15"/>
      <c r="C1346" s="16"/>
      <c r="D1346" s="15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4"/>
      <c r="B1347" s="15"/>
      <c r="C1347" s="16"/>
      <c r="D1347" s="15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4"/>
      <c r="B1348" s="15"/>
      <c r="C1348" s="16"/>
      <c r="D1348" s="15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4"/>
      <c r="B1349" s="15"/>
      <c r="C1349" s="16"/>
      <c r="D1349" s="15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4"/>
      <c r="B1350" s="15"/>
      <c r="C1350" s="16"/>
      <c r="D1350" s="15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4"/>
      <c r="B1351" s="15"/>
      <c r="C1351" s="16"/>
      <c r="D1351" s="15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4"/>
      <c r="B1352" s="15"/>
      <c r="C1352" s="16"/>
      <c r="D1352" s="15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4"/>
      <c r="B1353" s="15"/>
      <c r="C1353" s="16"/>
      <c r="D1353" s="15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4"/>
      <c r="B1354" s="15"/>
      <c r="C1354" s="16"/>
      <c r="D1354" s="15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4"/>
      <c r="B1355" s="15"/>
      <c r="C1355" s="16"/>
      <c r="D1355" s="15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4"/>
      <c r="B1356" s="15"/>
      <c r="C1356" s="16"/>
      <c r="D1356" s="15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4"/>
      <c r="B1357" s="15"/>
      <c r="C1357" s="16"/>
      <c r="D1357" s="15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4"/>
      <c r="B1358" s="15"/>
      <c r="C1358" s="16"/>
      <c r="D1358" s="15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4"/>
      <c r="B1359" s="15"/>
      <c r="C1359" s="16"/>
      <c r="D1359" s="15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4"/>
      <c r="B1360" s="15"/>
      <c r="C1360" s="16"/>
      <c r="D1360" s="15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4"/>
      <c r="B1361" s="15"/>
      <c r="C1361" s="16"/>
      <c r="D1361" s="15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4"/>
      <c r="B1362" s="15"/>
      <c r="C1362" s="16"/>
      <c r="D1362" s="15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4"/>
      <c r="B1363" s="15"/>
      <c r="C1363" s="16"/>
      <c r="D1363" s="15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4"/>
      <c r="B1364" s="15"/>
      <c r="C1364" s="16"/>
      <c r="D1364" s="15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4"/>
      <c r="B1365" s="15"/>
      <c r="C1365" s="16"/>
      <c r="D1365" s="15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4"/>
      <c r="B1366" s="15"/>
      <c r="C1366" s="16"/>
      <c r="D1366" s="15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4"/>
      <c r="B1367" s="15"/>
      <c r="C1367" s="16"/>
      <c r="D1367" s="15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4"/>
      <c r="B1368" s="15"/>
      <c r="C1368" s="16"/>
      <c r="D1368" s="15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4"/>
      <c r="B1369" s="15"/>
      <c r="C1369" s="16"/>
      <c r="D1369" s="15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4"/>
      <c r="B1370" s="15"/>
      <c r="C1370" s="16"/>
      <c r="D1370" s="15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4"/>
      <c r="B1371" s="15"/>
      <c r="C1371" s="16"/>
      <c r="D1371" s="15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4"/>
      <c r="B1372" s="15"/>
      <c r="C1372" s="16"/>
      <c r="D1372" s="15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4"/>
      <c r="B1373" s="15"/>
      <c r="C1373" s="16"/>
      <c r="D1373" s="15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4"/>
      <c r="B1374" s="15"/>
      <c r="C1374" s="16"/>
      <c r="D1374" s="15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4"/>
      <c r="B1375" s="15"/>
      <c r="C1375" s="16"/>
      <c r="D1375" s="15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4"/>
      <c r="B1376" s="15"/>
      <c r="C1376" s="16"/>
      <c r="D1376" s="15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4"/>
      <c r="B1377" s="15"/>
      <c r="C1377" s="16"/>
      <c r="D1377" s="15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4"/>
      <c r="B1378" s="15"/>
      <c r="C1378" s="16"/>
      <c r="D1378" s="15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4"/>
      <c r="B1379" s="15"/>
      <c r="C1379" s="16"/>
      <c r="D1379" s="15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4"/>
      <c r="B1380" s="15"/>
      <c r="C1380" s="16"/>
      <c r="D1380" s="15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4"/>
      <c r="B1381" s="15"/>
      <c r="C1381" s="16"/>
      <c r="D1381" s="15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4"/>
      <c r="B1382" s="15"/>
      <c r="C1382" s="16"/>
      <c r="D1382" s="15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4"/>
      <c r="B1383" s="15"/>
      <c r="C1383" s="16"/>
      <c r="D1383" s="15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4"/>
      <c r="B1384" s="15"/>
      <c r="C1384" s="16"/>
      <c r="D1384" s="15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4"/>
      <c r="B1385" s="15"/>
      <c r="C1385" s="16"/>
      <c r="D1385" s="15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4"/>
      <c r="B1386" s="15"/>
      <c r="C1386" s="16"/>
      <c r="D1386" s="15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4"/>
      <c r="B1387" s="15"/>
      <c r="C1387" s="16"/>
      <c r="D1387" s="15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4"/>
      <c r="B1388" s="15"/>
      <c r="C1388" s="16"/>
      <c r="D1388" s="15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4"/>
      <c r="B1389" s="15"/>
      <c r="C1389" s="16"/>
      <c r="D1389" s="15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4"/>
      <c r="B1390" s="15"/>
      <c r="C1390" s="16"/>
      <c r="D1390" s="15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4"/>
      <c r="B1391" s="15"/>
      <c r="C1391" s="16"/>
      <c r="D1391" s="15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4"/>
      <c r="B1392" s="15"/>
      <c r="C1392" s="16"/>
      <c r="D1392" s="15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4"/>
      <c r="B1393" s="15"/>
      <c r="C1393" s="16"/>
      <c r="D1393" s="15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4"/>
      <c r="B1394" s="15"/>
      <c r="C1394" s="16"/>
      <c r="D1394" s="15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4"/>
      <c r="B1395" s="15"/>
      <c r="C1395" s="16"/>
      <c r="D1395" s="15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4"/>
      <c r="B1396" s="15"/>
      <c r="C1396" s="16"/>
      <c r="D1396" s="15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4"/>
      <c r="B1397" s="15"/>
      <c r="C1397" s="16"/>
      <c r="D1397" s="15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4"/>
      <c r="B1398" s="15"/>
      <c r="C1398" s="16"/>
      <c r="D1398" s="15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4"/>
      <c r="B1399" s="15"/>
      <c r="C1399" s="16"/>
      <c r="D1399" s="15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4"/>
      <c r="B1400" s="15"/>
      <c r="C1400" s="16"/>
      <c r="D1400" s="15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4"/>
      <c r="B1401" s="15"/>
      <c r="C1401" s="16"/>
      <c r="D1401" s="15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4"/>
      <c r="B1402" s="15"/>
      <c r="C1402" s="16"/>
      <c r="D1402" s="15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4"/>
      <c r="B1403" s="15"/>
      <c r="C1403" s="16"/>
      <c r="D1403" s="15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4"/>
      <c r="B1404" s="15"/>
      <c r="C1404" s="16"/>
      <c r="D1404" s="15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4"/>
      <c r="B1405" s="15"/>
      <c r="C1405" s="16"/>
      <c r="D1405" s="15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4"/>
      <c r="B1406" s="15"/>
      <c r="C1406" s="16"/>
      <c r="D1406" s="15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4"/>
      <c r="B1407" s="15"/>
      <c r="C1407" s="16"/>
      <c r="D1407" s="15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4"/>
      <c r="B1408" s="15"/>
      <c r="C1408" s="16"/>
      <c r="D1408" s="15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4"/>
      <c r="B1409" s="15"/>
      <c r="C1409" s="16"/>
      <c r="D1409" s="15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4"/>
      <c r="B1410" s="15"/>
      <c r="C1410" s="16"/>
      <c r="D1410" s="15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4"/>
      <c r="B1411" s="15"/>
      <c r="C1411" s="16"/>
      <c r="D1411" s="15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4"/>
      <c r="B1412" s="15"/>
      <c r="C1412" s="16"/>
      <c r="D1412" s="15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4"/>
      <c r="B1413" s="15"/>
      <c r="C1413" s="16"/>
      <c r="D1413" s="15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4"/>
      <c r="B1414" s="15"/>
      <c r="C1414" s="16"/>
      <c r="D1414" s="15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4"/>
      <c r="B1415" s="15"/>
      <c r="C1415" s="16"/>
      <c r="D1415" s="15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4"/>
      <c r="B1416" s="15"/>
      <c r="C1416" s="16"/>
      <c r="D1416" s="15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4"/>
      <c r="B1417" s="15"/>
      <c r="C1417" s="16"/>
      <c r="D1417" s="15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4"/>
      <c r="B1418" s="15"/>
      <c r="C1418" s="16"/>
      <c r="D1418" s="15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4"/>
      <c r="B1419" s="15"/>
      <c r="C1419" s="16"/>
      <c r="D1419" s="15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4"/>
      <c r="B1420" s="15"/>
      <c r="C1420" s="16"/>
      <c r="D1420" s="15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4"/>
      <c r="B1421" s="15"/>
      <c r="C1421" s="16"/>
      <c r="D1421" s="15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4"/>
      <c r="B1422" s="15"/>
      <c r="C1422" s="16"/>
      <c r="D1422" s="15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4"/>
      <c r="B1423" s="15"/>
      <c r="C1423" s="16"/>
      <c r="D1423" s="15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4"/>
      <c r="B1424" s="15"/>
      <c r="C1424" s="16"/>
      <c r="D1424" s="15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4"/>
      <c r="B1425" s="15"/>
      <c r="C1425" s="16"/>
      <c r="D1425" s="15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4"/>
      <c r="B1426" s="15"/>
      <c r="C1426" s="16"/>
      <c r="D1426" s="15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4"/>
      <c r="B1427" s="15"/>
      <c r="C1427" s="16"/>
      <c r="D1427" s="15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4"/>
      <c r="B1428" s="15"/>
      <c r="C1428" s="16"/>
      <c r="D1428" s="15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4"/>
      <c r="B1429" s="15"/>
      <c r="C1429" s="16"/>
      <c r="D1429" s="15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4"/>
      <c r="B1430" s="15"/>
      <c r="C1430" s="16"/>
      <c r="D1430" s="15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4"/>
      <c r="B1431" s="15"/>
      <c r="C1431" s="16"/>
      <c r="D1431" s="15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4"/>
      <c r="B1432" s="15"/>
      <c r="C1432" s="16"/>
      <c r="D1432" s="15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4"/>
      <c r="B1433" s="15"/>
      <c r="C1433" s="16"/>
      <c r="D1433" s="15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4"/>
      <c r="B1434" s="15"/>
      <c r="C1434" s="16"/>
      <c r="D1434" s="15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4"/>
      <c r="B1435" s="15"/>
      <c r="C1435" s="16"/>
      <c r="D1435" s="15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4"/>
      <c r="B1436" s="15"/>
      <c r="C1436" s="16"/>
      <c r="D1436" s="15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4"/>
      <c r="B1437" s="15"/>
      <c r="C1437" s="16"/>
      <c r="D1437" s="15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4"/>
      <c r="B1438" s="15"/>
      <c r="C1438" s="16"/>
      <c r="D1438" s="15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4"/>
      <c r="B1439" s="15"/>
      <c r="C1439" s="16"/>
      <c r="D1439" s="15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4"/>
      <c r="B1440" s="15"/>
      <c r="C1440" s="16"/>
      <c r="D1440" s="15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4"/>
      <c r="B1441" s="15"/>
      <c r="C1441" s="16"/>
      <c r="D1441" s="15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4"/>
      <c r="B1442" s="15"/>
      <c r="C1442" s="16"/>
      <c r="D1442" s="15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4"/>
      <c r="B1443" s="15"/>
      <c r="C1443" s="16"/>
      <c r="D1443" s="15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4"/>
      <c r="B1444" s="15"/>
      <c r="C1444" s="16"/>
      <c r="D1444" s="15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4"/>
      <c r="B1445" s="15"/>
      <c r="C1445" s="16"/>
      <c r="D1445" s="15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4"/>
      <c r="B1446" s="15"/>
      <c r="C1446" s="16"/>
      <c r="D1446" s="15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4"/>
      <c r="B1447" s="15"/>
      <c r="C1447" s="16"/>
      <c r="D1447" s="15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4"/>
      <c r="B1448" s="15"/>
      <c r="C1448" s="16"/>
      <c r="D1448" s="15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4"/>
      <c r="B1449" s="15"/>
      <c r="C1449" s="16"/>
      <c r="D1449" s="15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4"/>
      <c r="B1450" s="15"/>
      <c r="C1450" s="16"/>
      <c r="D1450" s="15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4"/>
      <c r="B1451" s="15"/>
      <c r="C1451" s="16"/>
      <c r="D1451" s="15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4"/>
      <c r="B1452" s="15"/>
      <c r="C1452" s="16"/>
      <c r="D1452" s="15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4"/>
      <c r="B1453" s="15"/>
      <c r="C1453" s="16"/>
      <c r="D1453" s="15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4"/>
      <c r="B1454" s="15"/>
      <c r="C1454" s="16"/>
      <c r="D1454" s="15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4"/>
      <c r="B1455" s="15"/>
      <c r="C1455" s="16"/>
      <c r="D1455" s="15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4"/>
      <c r="B1456" s="15"/>
      <c r="C1456" s="16"/>
      <c r="D1456" s="15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4"/>
      <c r="B1457" s="15"/>
      <c r="C1457" s="16"/>
      <c r="D1457" s="15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4"/>
      <c r="B1458" s="15"/>
      <c r="C1458" s="16"/>
      <c r="D1458" s="15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4"/>
      <c r="B1459" s="15"/>
      <c r="C1459" s="16"/>
      <c r="D1459" s="15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4"/>
      <c r="B1460" s="15"/>
      <c r="C1460" s="16"/>
      <c r="D1460" s="15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4"/>
      <c r="B1461" s="15"/>
      <c r="C1461" s="16"/>
      <c r="D1461" s="15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4"/>
      <c r="B1462" s="15"/>
      <c r="C1462" s="16"/>
      <c r="D1462" s="15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4"/>
      <c r="B1463" s="15"/>
      <c r="C1463" s="16"/>
      <c r="D1463" s="15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4"/>
      <c r="B1464" s="15"/>
      <c r="C1464" s="16"/>
      <c r="D1464" s="15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4"/>
      <c r="B1465" s="15"/>
      <c r="C1465" s="16"/>
      <c r="D1465" s="15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4"/>
      <c r="B1466" s="15"/>
      <c r="C1466" s="16"/>
      <c r="D1466" s="15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4"/>
      <c r="B1467" s="15"/>
      <c r="C1467" s="16"/>
      <c r="D1467" s="15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4"/>
      <c r="B1468" s="15"/>
      <c r="C1468" s="16"/>
      <c r="D1468" s="15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4"/>
      <c r="B1469" s="15"/>
      <c r="C1469" s="16"/>
      <c r="D1469" s="15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4"/>
      <c r="B1470" s="15"/>
      <c r="C1470" s="16"/>
      <c r="D1470" s="15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4"/>
      <c r="B1471" s="15"/>
      <c r="C1471" s="16"/>
      <c r="D1471" s="15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4"/>
      <c r="B1472" s="15"/>
      <c r="C1472" s="16"/>
      <c r="D1472" s="15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4"/>
      <c r="B1473" s="15"/>
      <c r="C1473" s="16"/>
      <c r="D1473" s="15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4"/>
      <c r="B1474" s="15"/>
      <c r="C1474" s="16"/>
      <c r="D1474" s="15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4"/>
      <c r="B1475" s="15"/>
      <c r="C1475" s="16"/>
      <c r="D1475" s="15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4"/>
      <c r="B1476" s="15"/>
      <c r="C1476" s="16"/>
      <c r="D1476" s="15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4"/>
      <c r="B1477" s="15"/>
      <c r="C1477" s="16"/>
      <c r="D1477" s="15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4"/>
      <c r="B1478" s="15"/>
      <c r="C1478" s="16"/>
      <c r="D1478" s="15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4"/>
      <c r="B1479" s="15"/>
      <c r="C1479" s="16"/>
      <c r="D1479" s="15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4"/>
      <c r="B1480" s="15"/>
      <c r="C1480" s="16"/>
      <c r="D1480" s="15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4"/>
      <c r="B1481" s="15"/>
      <c r="C1481" s="16"/>
      <c r="D1481" s="15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4"/>
      <c r="B1482" s="15"/>
      <c r="C1482" s="16"/>
      <c r="D1482" s="15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4"/>
      <c r="B1483" s="15"/>
      <c r="C1483" s="16"/>
      <c r="D1483" s="15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4"/>
      <c r="B1484" s="15"/>
      <c r="C1484" s="16"/>
      <c r="D1484" s="15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4"/>
      <c r="B1485" s="15"/>
      <c r="C1485" s="16"/>
      <c r="D1485" s="15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4"/>
      <c r="B1486" s="15"/>
      <c r="C1486" s="16"/>
      <c r="D1486" s="15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4"/>
      <c r="B1487" s="15"/>
      <c r="C1487" s="16"/>
      <c r="D1487" s="15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4"/>
      <c r="B1488" s="15"/>
      <c r="C1488" s="16"/>
      <c r="D1488" s="15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4"/>
      <c r="B1489" s="15"/>
      <c r="C1489" s="16"/>
      <c r="D1489" s="15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4"/>
      <c r="B1490" s="15"/>
      <c r="C1490" s="16"/>
      <c r="D1490" s="15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4"/>
      <c r="B1491" s="15"/>
      <c r="C1491" s="16"/>
      <c r="D1491" s="15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4"/>
      <c r="B1492" s="15"/>
      <c r="C1492" s="16"/>
      <c r="D1492" s="15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4"/>
      <c r="B1493" s="15"/>
      <c r="C1493" s="16"/>
      <c r="D1493" s="15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4"/>
      <c r="B1494" s="15"/>
      <c r="C1494" s="16"/>
      <c r="D1494" s="15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4"/>
      <c r="B1495" s="15"/>
      <c r="C1495" s="16"/>
      <c r="D1495" s="15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4"/>
      <c r="B1496" s="15"/>
      <c r="C1496" s="16"/>
      <c r="D1496" s="15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4"/>
      <c r="B1497" s="15"/>
      <c r="C1497" s="16"/>
      <c r="D1497" s="15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4"/>
      <c r="B1498" s="15"/>
      <c r="C1498" s="16"/>
      <c r="D1498" s="15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4"/>
      <c r="B1499" s="15"/>
      <c r="C1499" s="16"/>
      <c r="D1499" s="15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4"/>
      <c r="B1500" s="15"/>
      <c r="C1500" s="16"/>
      <c r="D1500" s="15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4"/>
      <c r="B1501" s="15"/>
      <c r="C1501" s="16"/>
      <c r="D1501" s="15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4"/>
      <c r="B1502" s="15"/>
      <c r="C1502" s="16"/>
      <c r="D1502" s="15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4"/>
      <c r="B1503" s="15"/>
      <c r="C1503" s="16"/>
      <c r="D1503" s="15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4"/>
      <c r="B1504" s="15"/>
      <c r="C1504" s="16"/>
      <c r="D1504" s="15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4"/>
      <c r="B1505" s="15"/>
      <c r="C1505" s="16"/>
      <c r="D1505" s="15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4"/>
      <c r="B1506" s="15"/>
      <c r="C1506" s="16"/>
      <c r="D1506" s="15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4"/>
      <c r="B1507" s="15"/>
      <c r="C1507" s="16"/>
      <c r="D1507" s="15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4"/>
      <c r="B1508" s="15"/>
      <c r="C1508" s="16"/>
      <c r="D1508" s="15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4"/>
      <c r="B1509" s="15"/>
      <c r="C1509" s="16"/>
      <c r="D1509" s="15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4"/>
      <c r="B1510" s="15"/>
      <c r="C1510" s="16"/>
      <c r="D1510" s="15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4"/>
      <c r="B1511" s="15"/>
      <c r="C1511" s="16"/>
      <c r="D1511" s="15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4"/>
      <c r="B1512" s="15"/>
      <c r="C1512" s="16"/>
      <c r="D1512" s="15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4"/>
      <c r="B1513" s="15"/>
      <c r="C1513" s="16"/>
      <c r="D1513" s="15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4"/>
      <c r="B1514" s="15"/>
      <c r="C1514" s="16"/>
      <c r="D1514" s="15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4"/>
      <c r="B1515" s="15"/>
      <c r="C1515" s="16"/>
      <c r="D1515" s="15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4"/>
      <c r="B1516" s="15"/>
      <c r="C1516" s="16"/>
      <c r="D1516" s="15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4"/>
      <c r="B1517" s="15"/>
      <c r="C1517" s="16"/>
      <c r="D1517" s="15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4"/>
      <c r="B1518" s="15"/>
      <c r="C1518" s="16"/>
      <c r="D1518" s="15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4"/>
      <c r="B1519" s="15"/>
      <c r="C1519" s="16"/>
      <c r="D1519" s="15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4"/>
      <c r="B1520" s="15"/>
      <c r="C1520" s="16"/>
      <c r="D1520" s="15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4"/>
      <c r="B1521" s="15"/>
      <c r="C1521" s="16"/>
      <c r="D1521" s="15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4"/>
      <c r="B1522" s="15"/>
      <c r="C1522" s="16"/>
      <c r="D1522" s="15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4"/>
      <c r="B1523" s="15"/>
      <c r="C1523" s="16"/>
      <c r="D1523" s="15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4"/>
      <c r="B1524" s="15"/>
      <c r="C1524" s="16"/>
      <c r="D1524" s="15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4"/>
      <c r="B1525" s="15"/>
      <c r="C1525" s="16"/>
      <c r="D1525" s="15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4"/>
      <c r="B1526" s="15"/>
      <c r="C1526" s="16"/>
      <c r="D1526" s="15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4"/>
      <c r="B1527" s="15"/>
      <c r="C1527" s="16"/>
      <c r="D1527" s="15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4"/>
      <c r="B1528" s="15"/>
      <c r="C1528" s="16"/>
      <c r="D1528" s="15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4"/>
      <c r="B1529" s="15"/>
      <c r="C1529" s="16"/>
      <c r="D1529" s="15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4"/>
      <c r="B1530" s="15"/>
      <c r="C1530" s="16"/>
      <c r="D1530" s="15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4"/>
      <c r="B1531" s="15"/>
      <c r="C1531" s="16"/>
      <c r="D1531" s="15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4"/>
      <c r="B1532" s="15"/>
      <c r="C1532" s="16"/>
      <c r="D1532" s="15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4"/>
      <c r="B1533" s="15"/>
      <c r="C1533" s="16"/>
      <c r="D1533" s="15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4"/>
      <c r="B1534" s="15"/>
      <c r="C1534" s="16"/>
      <c r="D1534" s="15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4"/>
      <c r="B1535" s="15"/>
      <c r="C1535" s="16"/>
      <c r="D1535" s="15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4"/>
      <c r="B1536" s="15"/>
      <c r="C1536" s="16"/>
      <c r="D1536" s="15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4"/>
      <c r="B1537" s="15"/>
      <c r="C1537" s="16"/>
      <c r="D1537" s="15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4"/>
      <c r="B1538" s="15"/>
      <c r="C1538" s="16"/>
      <c r="D1538" s="15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4"/>
      <c r="B1539" s="15"/>
      <c r="C1539" s="16"/>
      <c r="D1539" s="15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4"/>
      <c r="B1540" s="15"/>
      <c r="C1540" s="16"/>
      <c r="D1540" s="15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4"/>
      <c r="B1541" s="15"/>
      <c r="C1541" s="16"/>
      <c r="D1541" s="15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4"/>
      <c r="B1542" s="15"/>
      <c r="C1542" s="16"/>
      <c r="D1542" s="15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4"/>
      <c r="B1543" s="15"/>
      <c r="C1543" s="16"/>
      <c r="D1543" s="15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4"/>
      <c r="B1544" s="15"/>
      <c r="C1544" s="16"/>
      <c r="D1544" s="15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4"/>
      <c r="B1545" s="15"/>
      <c r="C1545" s="16"/>
      <c r="D1545" s="15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4"/>
      <c r="B1546" s="15"/>
      <c r="C1546" s="16"/>
      <c r="D1546" s="15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4"/>
      <c r="B1547" s="15"/>
      <c r="C1547" s="16"/>
      <c r="D1547" s="15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4"/>
      <c r="B1548" s="15"/>
      <c r="C1548" s="16"/>
      <c r="D1548" s="15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4"/>
      <c r="B1549" s="15"/>
      <c r="C1549" s="16"/>
      <c r="D1549" s="15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4"/>
      <c r="B1550" s="15"/>
      <c r="C1550" s="16"/>
      <c r="D1550" s="15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4"/>
      <c r="B1551" s="15"/>
      <c r="C1551" s="16"/>
      <c r="D1551" s="15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4"/>
      <c r="B1552" s="15"/>
      <c r="C1552" s="16"/>
      <c r="D1552" s="15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4"/>
      <c r="B1553" s="15"/>
      <c r="C1553" s="16"/>
      <c r="D1553" s="15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4"/>
      <c r="B1554" s="15"/>
      <c r="C1554" s="16"/>
      <c r="D1554" s="15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4"/>
      <c r="B1555" s="15"/>
      <c r="C1555" s="16"/>
      <c r="D1555" s="15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4"/>
      <c r="B1556" s="15"/>
      <c r="C1556" s="16"/>
      <c r="D1556" s="15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4"/>
      <c r="B1557" s="15"/>
      <c r="C1557" s="16"/>
      <c r="D1557" s="15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4"/>
      <c r="B1558" s="15"/>
      <c r="C1558" s="16"/>
      <c r="D1558" s="15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4"/>
      <c r="B1559" s="15"/>
      <c r="C1559" s="16"/>
      <c r="D1559" s="15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4"/>
      <c r="B1560" s="15"/>
      <c r="C1560" s="16"/>
      <c r="D1560" s="15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4"/>
      <c r="B1561" s="15"/>
      <c r="C1561" s="16"/>
      <c r="D1561" s="15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4"/>
      <c r="B1562" s="15"/>
      <c r="C1562" s="16"/>
      <c r="D1562" s="15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4"/>
      <c r="B1563" s="15"/>
      <c r="C1563" s="16"/>
      <c r="D1563" s="15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4"/>
      <c r="B1564" s="15"/>
      <c r="C1564" s="16"/>
      <c r="D1564" s="15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4"/>
      <c r="B1565" s="15"/>
      <c r="C1565" s="16"/>
      <c r="D1565" s="15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4"/>
      <c r="B1566" s="15"/>
      <c r="C1566" s="16"/>
      <c r="D1566" s="15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4"/>
      <c r="B1567" s="15"/>
      <c r="C1567" s="16"/>
      <c r="D1567" s="15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4"/>
      <c r="B1568" s="15"/>
      <c r="C1568" s="16"/>
      <c r="D1568" s="15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4"/>
      <c r="B1569" s="15"/>
      <c r="C1569" s="16"/>
      <c r="D1569" s="15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4"/>
      <c r="B1570" s="15"/>
      <c r="C1570" s="16"/>
      <c r="D1570" s="15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4"/>
      <c r="B1571" s="15"/>
      <c r="C1571" s="16"/>
      <c r="D1571" s="15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4"/>
      <c r="B1572" s="15"/>
      <c r="C1572" s="16"/>
      <c r="D1572" s="15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4"/>
      <c r="B1573" s="15"/>
      <c r="C1573" s="16"/>
      <c r="D1573" s="15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4"/>
      <c r="B1574" s="15"/>
      <c r="C1574" s="16"/>
      <c r="D1574" s="15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4"/>
      <c r="B1575" s="15"/>
      <c r="C1575" s="16"/>
      <c r="D1575" s="15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4"/>
      <c r="B1576" s="15"/>
      <c r="C1576" s="16"/>
      <c r="D1576" s="15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4"/>
      <c r="B1577" s="15"/>
      <c r="C1577" s="16"/>
      <c r="D1577" s="15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4"/>
      <c r="B1578" s="15"/>
      <c r="C1578" s="16"/>
      <c r="D1578" s="15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4"/>
      <c r="B1579" s="15"/>
      <c r="C1579" s="16"/>
      <c r="D1579" s="15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4"/>
      <c r="B1580" s="15"/>
      <c r="C1580" s="16"/>
      <c r="D1580" s="15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4"/>
      <c r="B1581" s="15"/>
      <c r="C1581" s="16"/>
      <c r="D1581" s="15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4"/>
      <c r="B1582" s="15"/>
      <c r="C1582" s="16"/>
      <c r="D1582" s="15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4"/>
      <c r="B1583" s="15"/>
      <c r="C1583" s="16"/>
      <c r="D1583" s="15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4"/>
      <c r="B1584" s="15"/>
      <c r="C1584" s="16"/>
      <c r="D1584" s="15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4"/>
      <c r="B1585" s="15"/>
      <c r="C1585" s="16"/>
      <c r="D1585" s="15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4"/>
      <c r="B1586" s="15"/>
      <c r="C1586" s="16"/>
      <c r="D1586" s="15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4"/>
      <c r="B1587" s="15"/>
      <c r="C1587" s="16"/>
      <c r="D1587" s="15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4"/>
      <c r="B1588" s="15"/>
      <c r="C1588" s="16"/>
      <c r="D1588" s="15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4"/>
      <c r="B1589" s="15"/>
      <c r="C1589" s="16"/>
      <c r="D1589" s="15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4"/>
      <c r="B1590" s="15"/>
      <c r="C1590" s="16"/>
      <c r="D1590" s="15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4"/>
      <c r="B1591" s="15"/>
      <c r="C1591" s="16"/>
      <c r="D1591" s="15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4"/>
      <c r="B1592" s="15"/>
      <c r="C1592" s="16"/>
      <c r="D1592" s="15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4"/>
      <c r="B1593" s="15"/>
      <c r="C1593" s="16"/>
      <c r="D1593" s="15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4"/>
      <c r="B1594" s="15"/>
      <c r="C1594" s="16"/>
      <c r="D1594" s="15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4"/>
      <c r="B1595" s="15"/>
      <c r="C1595" s="16"/>
      <c r="D1595" s="15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4"/>
      <c r="B1596" s="15"/>
      <c r="C1596" s="16"/>
      <c r="D1596" s="15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4"/>
      <c r="B1597" s="15"/>
      <c r="C1597" s="16"/>
      <c r="D1597" s="15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4"/>
      <c r="B1598" s="15"/>
      <c r="C1598" s="16"/>
      <c r="D1598" s="15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4"/>
      <c r="B1599" s="15"/>
      <c r="C1599" s="16"/>
      <c r="D1599" s="15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4"/>
      <c r="B1600" s="15"/>
      <c r="C1600" s="16"/>
      <c r="D1600" s="15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4"/>
      <c r="B1601" s="15"/>
      <c r="C1601" s="16"/>
      <c r="D1601" s="15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4"/>
      <c r="B1602" s="15"/>
      <c r="C1602" s="16"/>
      <c r="D1602" s="15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4"/>
      <c r="B1603" s="15"/>
      <c r="C1603" s="16"/>
      <c r="D1603" s="15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4"/>
      <c r="B1604" s="15"/>
      <c r="C1604" s="16"/>
      <c r="D1604" s="15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4"/>
      <c r="B1605" s="15"/>
      <c r="C1605" s="16"/>
      <c r="D1605" s="15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4"/>
      <c r="B1606" s="15"/>
      <c r="C1606" s="16"/>
      <c r="D1606" s="15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4"/>
      <c r="B1607" s="15"/>
      <c r="C1607" s="16"/>
      <c r="D1607" s="15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4"/>
      <c r="B1608" s="15"/>
      <c r="C1608" s="16"/>
      <c r="D1608" s="15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4"/>
      <c r="B1609" s="15"/>
      <c r="C1609" s="16"/>
      <c r="D1609" s="15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4"/>
      <c r="B1610" s="15"/>
      <c r="C1610" s="16"/>
      <c r="D1610" s="15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4"/>
      <c r="B1611" s="15"/>
      <c r="C1611" s="16"/>
      <c r="D1611" s="15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4"/>
      <c r="B1612" s="15"/>
      <c r="C1612" s="16"/>
      <c r="D1612" s="15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4"/>
      <c r="B1613" s="15"/>
      <c r="C1613" s="16"/>
      <c r="D1613" s="15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4"/>
      <c r="B1614" s="15"/>
      <c r="C1614" s="16"/>
      <c r="D1614" s="15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4"/>
      <c r="B1615" s="15"/>
      <c r="C1615" s="16"/>
      <c r="D1615" s="15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4"/>
      <c r="B1616" s="15"/>
      <c r="C1616" s="16"/>
      <c r="D1616" s="15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4"/>
      <c r="B1617" s="15"/>
      <c r="C1617" s="16"/>
      <c r="D1617" s="15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4"/>
      <c r="B1618" s="15"/>
      <c r="C1618" s="16"/>
      <c r="D1618" s="15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4"/>
      <c r="B1619" s="15"/>
      <c r="C1619" s="16"/>
      <c r="D1619" s="15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4"/>
      <c r="B1620" s="15"/>
      <c r="C1620" s="16"/>
      <c r="D1620" s="15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4"/>
      <c r="B1621" s="15"/>
      <c r="C1621" s="16"/>
      <c r="D1621" s="15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4"/>
      <c r="B1622" s="15"/>
      <c r="C1622" s="16"/>
      <c r="D1622" s="15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4"/>
      <c r="B1623" s="15"/>
      <c r="C1623" s="16"/>
      <c r="D1623" s="15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4"/>
      <c r="B1624" s="15"/>
      <c r="C1624" s="16"/>
      <c r="D1624" s="15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4"/>
      <c r="B1625" s="15"/>
      <c r="C1625" s="16"/>
      <c r="D1625" s="15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4"/>
      <c r="B1626" s="15"/>
      <c r="C1626" s="16"/>
      <c r="D1626" s="15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4"/>
      <c r="B1627" s="15"/>
      <c r="C1627" s="16"/>
      <c r="D1627" s="15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4"/>
      <c r="B1628" s="15"/>
      <c r="C1628" s="16"/>
      <c r="D1628" s="15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4"/>
      <c r="B1629" s="15"/>
      <c r="C1629" s="16"/>
      <c r="D1629" s="15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4"/>
      <c r="B1630" s="15"/>
      <c r="C1630" s="16"/>
      <c r="D1630" s="15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4"/>
      <c r="B1631" s="15"/>
      <c r="C1631" s="16"/>
      <c r="D1631" s="15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4"/>
      <c r="B1632" s="15"/>
      <c r="C1632" s="16"/>
      <c r="D1632" s="15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4"/>
      <c r="B1633" s="15"/>
      <c r="C1633" s="16"/>
      <c r="D1633" s="15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4"/>
      <c r="B1634" s="15"/>
      <c r="C1634" s="16"/>
      <c r="D1634" s="15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4"/>
      <c r="B1635" s="15"/>
      <c r="C1635" s="16"/>
      <c r="D1635" s="15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4"/>
      <c r="B1636" s="15"/>
      <c r="C1636" s="16"/>
      <c r="D1636" s="15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4"/>
      <c r="B1637" s="15"/>
      <c r="C1637" s="16"/>
      <c r="D1637" s="15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4"/>
      <c r="B1638" s="15"/>
      <c r="C1638" s="16"/>
      <c r="D1638" s="15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4"/>
      <c r="B1639" s="15"/>
      <c r="C1639" s="16"/>
      <c r="D1639" s="15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4"/>
      <c r="B1640" s="15"/>
      <c r="C1640" s="16"/>
      <c r="D1640" s="15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4"/>
      <c r="B1641" s="15"/>
      <c r="C1641" s="16"/>
      <c r="D1641" s="15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4"/>
      <c r="B1642" s="15"/>
      <c r="C1642" s="16"/>
      <c r="D1642" s="15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4"/>
      <c r="B1643" s="15"/>
      <c r="C1643" s="16"/>
      <c r="D1643" s="15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4"/>
      <c r="B1644" s="15"/>
      <c r="C1644" s="16"/>
      <c r="D1644" s="15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4"/>
      <c r="B1645" s="15"/>
      <c r="C1645" s="16"/>
      <c r="D1645" s="15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4"/>
      <c r="B1646" s="15"/>
      <c r="C1646" s="16"/>
      <c r="D1646" s="15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4"/>
      <c r="B1647" s="15"/>
      <c r="C1647" s="16"/>
      <c r="D1647" s="15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4"/>
      <c r="B1648" s="15"/>
      <c r="C1648" s="16"/>
      <c r="D1648" s="15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4"/>
      <c r="B1649" s="15"/>
      <c r="C1649" s="16"/>
      <c r="D1649" s="15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4"/>
      <c r="B1650" s="15"/>
      <c r="C1650" s="16"/>
      <c r="D1650" s="15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4"/>
      <c r="B1651" s="15"/>
      <c r="C1651" s="16"/>
      <c r="D1651" s="15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4"/>
      <c r="B1652" s="15"/>
      <c r="C1652" s="16"/>
      <c r="D1652" s="15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4"/>
      <c r="B1653" s="15"/>
      <c r="C1653" s="16"/>
      <c r="D1653" s="15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4"/>
      <c r="B1654" s="15"/>
      <c r="C1654" s="16"/>
      <c r="D1654" s="15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4"/>
      <c r="B1655" s="15"/>
      <c r="C1655" s="16"/>
      <c r="D1655" s="15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4"/>
      <c r="B1656" s="15"/>
      <c r="C1656" s="16"/>
      <c r="D1656" s="15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4"/>
      <c r="B1657" s="15"/>
      <c r="C1657" s="16"/>
      <c r="D1657" s="15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4"/>
      <c r="B1658" s="15"/>
      <c r="C1658" s="16"/>
      <c r="D1658" s="15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4"/>
      <c r="B1659" s="15"/>
      <c r="C1659" s="16"/>
      <c r="D1659" s="15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4"/>
      <c r="B1660" s="15"/>
      <c r="C1660" s="16"/>
      <c r="D1660" s="15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4"/>
      <c r="B1661" s="15"/>
      <c r="C1661" s="16"/>
      <c r="D1661" s="15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4"/>
      <c r="B1662" s="15"/>
      <c r="C1662" s="16"/>
      <c r="D1662" s="15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4"/>
      <c r="B1663" s="15"/>
      <c r="C1663" s="16"/>
      <c r="D1663" s="15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4"/>
      <c r="B1664" s="15"/>
      <c r="C1664" s="16"/>
      <c r="D1664" s="15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4"/>
      <c r="B1665" s="15"/>
      <c r="C1665" s="16"/>
      <c r="D1665" s="15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4"/>
      <c r="B1666" s="15"/>
      <c r="C1666" s="16"/>
      <c r="D1666" s="15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4"/>
      <c r="B1667" s="15"/>
      <c r="C1667" s="16"/>
      <c r="D1667" s="15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4"/>
      <c r="B1668" s="15"/>
      <c r="C1668" s="16"/>
      <c r="D1668" s="15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4"/>
      <c r="B1669" s="15"/>
      <c r="C1669" s="16"/>
      <c r="D1669" s="15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4"/>
      <c r="B1670" s="15"/>
      <c r="C1670" s="16"/>
      <c r="D1670" s="15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4"/>
      <c r="B1671" s="15"/>
      <c r="C1671" s="16"/>
      <c r="D1671" s="15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4"/>
      <c r="B1672" s="15"/>
      <c r="C1672" s="16"/>
      <c r="D1672" s="15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4"/>
      <c r="B1673" s="15"/>
      <c r="C1673" s="16"/>
      <c r="D1673" s="15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4"/>
      <c r="B1674" s="15"/>
      <c r="C1674" s="16"/>
      <c r="D1674" s="15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4"/>
      <c r="B1675" s="15"/>
      <c r="C1675" s="16"/>
      <c r="D1675" s="15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4"/>
      <c r="B1676" s="15"/>
      <c r="C1676" s="16"/>
      <c r="D1676" s="15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4"/>
      <c r="B1677" s="15"/>
      <c r="C1677" s="16"/>
      <c r="D1677" s="15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4"/>
      <c r="B1678" s="15"/>
      <c r="C1678" s="16"/>
      <c r="D1678" s="15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4"/>
      <c r="B1679" s="15"/>
      <c r="C1679" s="16"/>
      <c r="D1679" s="15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4"/>
      <c r="B1680" s="15"/>
      <c r="C1680" s="16"/>
      <c r="D1680" s="15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4"/>
      <c r="B1681" s="15"/>
      <c r="C1681" s="16"/>
      <c r="D1681" s="15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4"/>
      <c r="B1682" s="15"/>
      <c r="C1682" s="16"/>
      <c r="D1682" s="15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4"/>
      <c r="B1683" s="15"/>
      <c r="C1683" s="16"/>
      <c r="D1683" s="15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4"/>
      <c r="B1684" s="15"/>
      <c r="C1684" s="16"/>
      <c r="D1684" s="15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4"/>
      <c r="B1685" s="15"/>
      <c r="C1685" s="16"/>
      <c r="D1685" s="15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4"/>
      <c r="B1686" s="15"/>
      <c r="C1686" s="16"/>
      <c r="D1686" s="15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4"/>
      <c r="B1687" s="15"/>
      <c r="C1687" s="16"/>
      <c r="D1687" s="15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4"/>
      <c r="B1688" s="15"/>
      <c r="C1688" s="16"/>
      <c r="D1688" s="15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4"/>
      <c r="B1689" s="15"/>
      <c r="C1689" s="16"/>
      <c r="D1689" s="15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4"/>
      <c r="B1690" s="15"/>
      <c r="C1690" s="16"/>
      <c r="D1690" s="15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4"/>
      <c r="B1691" s="15"/>
      <c r="C1691" s="16"/>
      <c r="D1691" s="15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4"/>
      <c r="B1692" s="15"/>
      <c r="C1692" s="16"/>
      <c r="D1692" s="15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4"/>
      <c r="B1693" s="15"/>
      <c r="C1693" s="16"/>
      <c r="D1693" s="15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4"/>
      <c r="B1694" s="15"/>
      <c r="C1694" s="16"/>
      <c r="D1694" s="15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4"/>
      <c r="B1695" s="15"/>
      <c r="C1695" s="16"/>
      <c r="D1695" s="15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4"/>
      <c r="B1696" s="15"/>
      <c r="C1696" s="16"/>
      <c r="D1696" s="15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4"/>
      <c r="B1697" s="15"/>
      <c r="C1697" s="16"/>
      <c r="D1697" s="15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4"/>
      <c r="B1698" s="15"/>
      <c r="C1698" s="16"/>
      <c r="D1698" s="15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4"/>
      <c r="B1699" s="15"/>
      <c r="C1699" s="16"/>
      <c r="D1699" s="15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4"/>
      <c r="B1700" s="15"/>
      <c r="C1700" s="16"/>
      <c r="D1700" s="15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4"/>
      <c r="B1701" s="15"/>
      <c r="C1701" s="16"/>
      <c r="D1701" s="15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4"/>
      <c r="B1702" s="15"/>
      <c r="C1702" s="16"/>
      <c r="D1702" s="15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4"/>
      <c r="B1703" s="15"/>
      <c r="C1703" s="16"/>
      <c r="D1703" s="15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4"/>
      <c r="B1704" s="15"/>
      <c r="C1704" s="16"/>
      <c r="D1704" s="15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4"/>
      <c r="B1705" s="15"/>
      <c r="C1705" s="16"/>
      <c r="D1705" s="15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4"/>
      <c r="B1706" s="15"/>
      <c r="C1706" s="16"/>
      <c r="D1706" s="15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4"/>
      <c r="B1707" s="15"/>
      <c r="C1707" s="16"/>
      <c r="D1707" s="15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4"/>
      <c r="B1708" s="15"/>
      <c r="C1708" s="16"/>
      <c r="D1708" s="15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4"/>
      <c r="B1709" s="15"/>
      <c r="C1709" s="16"/>
      <c r="D1709" s="15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4"/>
      <c r="B1710" s="15"/>
      <c r="C1710" s="16"/>
      <c r="D1710" s="15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4"/>
      <c r="B1711" s="15"/>
      <c r="C1711" s="16"/>
      <c r="D1711" s="15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4"/>
      <c r="B1712" s="15"/>
      <c r="C1712" s="16"/>
      <c r="D1712" s="15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4"/>
      <c r="B1713" s="15"/>
      <c r="C1713" s="16"/>
      <c r="D1713" s="15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4"/>
      <c r="B1714" s="15"/>
      <c r="C1714" s="16"/>
      <c r="D1714" s="15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4"/>
      <c r="B1715" s="15"/>
      <c r="C1715" s="16"/>
      <c r="D1715" s="15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4"/>
      <c r="B1716" s="15"/>
      <c r="C1716" s="16"/>
      <c r="D1716" s="15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4"/>
      <c r="B1717" s="15"/>
      <c r="C1717" s="16"/>
      <c r="D1717" s="15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4"/>
      <c r="B1718" s="15"/>
      <c r="C1718" s="16"/>
      <c r="D1718" s="15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4"/>
      <c r="B1719" s="15"/>
      <c r="C1719" s="16"/>
      <c r="D1719" s="15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4"/>
      <c r="B1720" s="15"/>
      <c r="C1720" s="16"/>
      <c r="D1720" s="15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4"/>
      <c r="B1721" s="15"/>
      <c r="C1721" s="16"/>
      <c r="D1721" s="15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4"/>
      <c r="B1722" s="15"/>
      <c r="C1722" s="16"/>
      <c r="D1722" s="15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4"/>
      <c r="B1723" s="15"/>
      <c r="C1723" s="16"/>
      <c r="D1723" s="15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4"/>
      <c r="B1724" s="15"/>
      <c r="C1724" s="16"/>
      <c r="D1724" s="15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4"/>
      <c r="B1725" s="15"/>
      <c r="C1725" s="16"/>
      <c r="D1725" s="15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4"/>
      <c r="B1726" s="15"/>
      <c r="C1726" s="16"/>
      <c r="D1726" s="15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4"/>
      <c r="B1727" s="15"/>
      <c r="C1727" s="16"/>
      <c r="D1727" s="15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4"/>
      <c r="B1728" s="15"/>
      <c r="C1728" s="16"/>
      <c r="D1728" s="15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4"/>
      <c r="B1729" s="15"/>
      <c r="C1729" s="16"/>
      <c r="D1729" s="15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4"/>
      <c r="B1730" s="15"/>
      <c r="C1730" s="16"/>
      <c r="D1730" s="15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4"/>
      <c r="B1731" s="15"/>
      <c r="C1731" s="16"/>
      <c r="D1731" s="15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4"/>
      <c r="B1732" s="15"/>
      <c r="C1732" s="16"/>
      <c r="D1732" s="15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4"/>
      <c r="B1733" s="15"/>
      <c r="C1733" s="16"/>
      <c r="D1733" s="15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4"/>
      <c r="B1734" s="15"/>
      <c r="C1734" s="16"/>
      <c r="D1734" s="15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4"/>
      <c r="B1735" s="15"/>
      <c r="C1735" s="16"/>
      <c r="D1735" s="15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4"/>
      <c r="B1736" s="15"/>
      <c r="C1736" s="16"/>
      <c r="D1736" s="15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4"/>
      <c r="B1737" s="15"/>
      <c r="C1737" s="16"/>
      <c r="D1737" s="15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4"/>
      <c r="B1738" s="15"/>
      <c r="C1738" s="16"/>
      <c r="D1738" s="15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4"/>
      <c r="B1739" s="15"/>
      <c r="C1739" s="16"/>
      <c r="D1739" s="15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4"/>
      <c r="B1740" s="15"/>
      <c r="C1740" s="16"/>
      <c r="D1740" s="15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4"/>
      <c r="B1741" s="15"/>
      <c r="C1741" s="16"/>
      <c r="D1741" s="15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4"/>
      <c r="B1742" s="15"/>
      <c r="C1742" s="16"/>
      <c r="D1742" s="15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4"/>
      <c r="B1743" s="15"/>
      <c r="C1743" s="16"/>
      <c r="D1743" s="15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4"/>
      <c r="B1744" s="15"/>
      <c r="C1744" s="16"/>
      <c r="D1744" s="15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4"/>
      <c r="B1745" s="15"/>
      <c r="C1745" s="16"/>
      <c r="D1745" s="15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4"/>
      <c r="B1746" s="15"/>
      <c r="C1746" s="16"/>
      <c r="D1746" s="15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4"/>
      <c r="B1747" s="15"/>
      <c r="C1747" s="16"/>
      <c r="D1747" s="15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4"/>
      <c r="B1748" s="15"/>
      <c r="C1748" s="16"/>
      <c r="D1748" s="15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4"/>
      <c r="B1749" s="15"/>
      <c r="C1749" s="16"/>
      <c r="D1749" s="15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4"/>
      <c r="B1750" s="15"/>
      <c r="C1750" s="16"/>
      <c r="D1750" s="15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4"/>
      <c r="B1751" s="15"/>
      <c r="C1751" s="16"/>
      <c r="D1751" s="15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4"/>
      <c r="B1752" s="15"/>
      <c r="C1752" s="16"/>
      <c r="D1752" s="15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4"/>
      <c r="B1753" s="15"/>
      <c r="C1753" s="16"/>
      <c r="D1753" s="15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4"/>
      <c r="B1754" s="15"/>
      <c r="C1754" s="16"/>
      <c r="D1754" s="15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4"/>
      <c r="B1755" s="15"/>
      <c r="C1755" s="16"/>
      <c r="D1755" s="15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4"/>
      <c r="B1756" s="15"/>
      <c r="C1756" s="16"/>
      <c r="D1756" s="15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4"/>
      <c r="B1757" s="15"/>
      <c r="C1757" s="16"/>
      <c r="D1757" s="15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4"/>
      <c r="B1758" s="15"/>
      <c r="C1758" s="16"/>
      <c r="D1758" s="15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4"/>
      <c r="B1759" s="15"/>
      <c r="C1759" s="16"/>
      <c r="D1759" s="15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4"/>
      <c r="B1760" s="15"/>
      <c r="C1760" s="16"/>
      <c r="D1760" s="15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4"/>
      <c r="B1761" s="15"/>
      <c r="C1761" s="16"/>
      <c r="D1761" s="15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4"/>
      <c r="B1762" s="15"/>
      <c r="C1762" s="16"/>
      <c r="D1762" s="15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4"/>
      <c r="B1763" s="15"/>
      <c r="C1763" s="16"/>
      <c r="D1763" s="15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4"/>
      <c r="B1764" s="15"/>
      <c r="C1764" s="16"/>
      <c r="D1764" s="15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4"/>
      <c r="B1765" s="15"/>
      <c r="C1765" s="16"/>
      <c r="D1765" s="15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4"/>
      <c r="B1766" s="15"/>
      <c r="C1766" s="16"/>
      <c r="D1766" s="15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4"/>
      <c r="B1767" s="15"/>
      <c r="C1767" s="16"/>
      <c r="D1767" s="15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4"/>
      <c r="B1768" s="15"/>
      <c r="C1768" s="16"/>
      <c r="D1768" s="15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4"/>
      <c r="B1769" s="15"/>
      <c r="C1769" s="16"/>
      <c r="D1769" s="15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4"/>
      <c r="B1770" s="15"/>
      <c r="C1770" s="16"/>
      <c r="D1770" s="15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4"/>
      <c r="B1771" s="15"/>
      <c r="C1771" s="16"/>
      <c r="D1771" s="15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4"/>
      <c r="B1772" s="15"/>
      <c r="C1772" s="16"/>
      <c r="D1772" s="15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4"/>
      <c r="B1773" s="15"/>
      <c r="C1773" s="16"/>
      <c r="D1773" s="15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4"/>
      <c r="B1774" s="15"/>
      <c r="C1774" s="16"/>
      <c r="D1774" s="15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4"/>
      <c r="B1775" s="15"/>
      <c r="C1775" s="16"/>
      <c r="D1775" s="15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4"/>
      <c r="B1776" s="15"/>
      <c r="C1776" s="16"/>
      <c r="D1776" s="15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4"/>
      <c r="B1777" s="15"/>
      <c r="C1777" s="16"/>
      <c r="D1777" s="15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4"/>
      <c r="B1778" s="15"/>
      <c r="C1778" s="16"/>
      <c r="D1778" s="15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4"/>
      <c r="B1779" s="15"/>
      <c r="C1779" s="16"/>
      <c r="D1779" s="15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4"/>
      <c r="B1780" s="15"/>
      <c r="C1780" s="16"/>
      <c r="D1780" s="15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4"/>
      <c r="B1781" s="15"/>
      <c r="C1781" s="16"/>
      <c r="D1781" s="15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4"/>
      <c r="B1782" s="15"/>
      <c r="C1782" s="16"/>
      <c r="D1782" s="15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4"/>
      <c r="B1783" s="15"/>
      <c r="C1783" s="16"/>
      <c r="D1783" s="15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4"/>
      <c r="B1784" s="15"/>
      <c r="C1784" s="16"/>
      <c r="D1784" s="15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4"/>
      <c r="B1785" s="15"/>
      <c r="C1785" s="16"/>
      <c r="D1785" s="15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4"/>
      <c r="B1786" s="15"/>
      <c r="C1786" s="16"/>
      <c r="D1786" s="15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4"/>
      <c r="B1787" s="15"/>
      <c r="C1787" s="16"/>
      <c r="D1787" s="15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4"/>
      <c r="B1788" s="15"/>
      <c r="C1788" s="16"/>
      <c r="D1788" s="15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4"/>
      <c r="B1789" s="15"/>
      <c r="C1789" s="16"/>
      <c r="D1789" s="15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4"/>
      <c r="B1790" s="15"/>
      <c r="C1790" s="16"/>
      <c r="D1790" s="15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4"/>
      <c r="B1791" s="15"/>
      <c r="C1791" s="16"/>
      <c r="D1791" s="15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4"/>
      <c r="B1792" s="15"/>
      <c r="C1792" s="16"/>
      <c r="D1792" s="15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4"/>
      <c r="B1793" s="15"/>
      <c r="C1793" s="16"/>
      <c r="D1793" s="15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4"/>
      <c r="B1794" s="15"/>
      <c r="C1794" s="16"/>
      <c r="D1794" s="15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4"/>
      <c r="B1795" s="15"/>
      <c r="C1795" s="16"/>
      <c r="D1795" s="15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4"/>
      <c r="B1796" s="15"/>
      <c r="C1796" s="16"/>
      <c r="D1796" s="15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4"/>
      <c r="B1797" s="15"/>
      <c r="C1797" s="16"/>
      <c r="D1797" s="15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4"/>
      <c r="B1798" s="15"/>
      <c r="C1798" s="16"/>
      <c r="D1798" s="15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4"/>
      <c r="B1799" s="15"/>
      <c r="C1799" s="16"/>
      <c r="D1799" s="15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4"/>
      <c r="B1800" s="15"/>
      <c r="C1800" s="16"/>
      <c r="D1800" s="15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4"/>
      <c r="B1801" s="15"/>
      <c r="C1801" s="16"/>
      <c r="D1801" s="15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4"/>
      <c r="B1802" s="15"/>
      <c r="C1802" s="16"/>
      <c r="D1802" s="15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4"/>
      <c r="B1803" s="15"/>
      <c r="C1803" s="16"/>
      <c r="D1803" s="15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4"/>
      <c r="B1804" s="15"/>
      <c r="C1804" s="16"/>
      <c r="D1804" s="15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4"/>
      <c r="B1805" s="15"/>
      <c r="C1805" s="16"/>
      <c r="D1805" s="15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4"/>
      <c r="B1806" s="15"/>
      <c r="C1806" s="16"/>
      <c r="D1806" s="15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4"/>
      <c r="B1807" s="15"/>
      <c r="C1807" s="16"/>
      <c r="D1807" s="15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4"/>
      <c r="B1808" s="15"/>
      <c r="C1808" s="16"/>
      <c r="D1808" s="15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4"/>
      <c r="B1809" s="15"/>
      <c r="C1809" s="16"/>
      <c r="D1809" s="15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4"/>
      <c r="B1810" s="15"/>
      <c r="C1810" s="16"/>
      <c r="D1810" s="15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4"/>
      <c r="B1811" s="15"/>
      <c r="C1811" s="16"/>
      <c r="D1811" s="15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4"/>
      <c r="B1812" s="15"/>
      <c r="C1812" s="16"/>
      <c r="D1812" s="15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4"/>
      <c r="B1813" s="15"/>
      <c r="C1813" s="16"/>
      <c r="D1813" s="15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4"/>
      <c r="B1814" s="15"/>
      <c r="C1814" s="16"/>
      <c r="D1814" s="15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4"/>
      <c r="B1815" s="15"/>
      <c r="C1815" s="16"/>
      <c r="D1815" s="15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4"/>
      <c r="B1816" s="15"/>
      <c r="C1816" s="16"/>
      <c r="D1816" s="15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4"/>
      <c r="B1817" s="15"/>
      <c r="C1817" s="16"/>
      <c r="D1817" s="15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4"/>
      <c r="B1818" s="15"/>
      <c r="C1818" s="16"/>
      <c r="D1818" s="15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4"/>
      <c r="B1819" s="15"/>
      <c r="C1819" s="16"/>
      <c r="D1819" s="15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4"/>
      <c r="B1820" s="15"/>
      <c r="C1820" s="16"/>
      <c r="D1820" s="15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4"/>
      <c r="B1821" s="15"/>
      <c r="C1821" s="16"/>
      <c r="D1821" s="15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4"/>
      <c r="B1822" s="15"/>
      <c r="C1822" s="16"/>
      <c r="D1822" s="15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4"/>
      <c r="B1823" s="15"/>
      <c r="C1823" s="16"/>
      <c r="D1823" s="15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4"/>
      <c r="B1824" s="15"/>
      <c r="C1824" s="16"/>
      <c r="D1824" s="15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4"/>
      <c r="B1825" s="15"/>
      <c r="C1825" s="16"/>
      <c r="D1825" s="15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4"/>
      <c r="B1826" s="15"/>
      <c r="C1826" s="16"/>
      <c r="D1826" s="15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4"/>
      <c r="B1827" s="15"/>
      <c r="C1827" s="16"/>
      <c r="D1827" s="15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4"/>
      <c r="B1828" s="15"/>
      <c r="C1828" s="16"/>
      <c r="D1828" s="15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4"/>
      <c r="B1829" s="15"/>
      <c r="C1829" s="16"/>
      <c r="D1829" s="15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4"/>
      <c r="B1830" s="15"/>
      <c r="C1830" s="16"/>
      <c r="D1830" s="15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4"/>
      <c r="B1831" s="15"/>
      <c r="C1831" s="16"/>
      <c r="D1831" s="15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4"/>
      <c r="B1832" s="15"/>
      <c r="C1832" s="16"/>
      <c r="D1832" s="15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4"/>
      <c r="B1833" s="15"/>
      <c r="C1833" s="16"/>
      <c r="D1833" s="15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4"/>
      <c r="B1834" s="15"/>
      <c r="C1834" s="16"/>
      <c r="D1834" s="15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4"/>
      <c r="B1835" s="15"/>
      <c r="C1835" s="16"/>
      <c r="D1835" s="15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4"/>
      <c r="B1836" s="15"/>
      <c r="C1836" s="16"/>
      <c r="D1836" s="15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4"/>
      <c r="B1837" s="15"/>
      <c r="C1837" s="16"/>
      <c r="D1837" s="15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4"/>
      <c r="B1838" s="15"/>
      <c r="C1838" s="16"/>
      <c r="D1838" s="15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4"/>
      <c r="B1839" s="15"/>
      <c r="C1839" s="16"/>
      <c r="D1839" s="15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4"/>
      <c r="B1840" s="15"/>
      <c r="C1840" s="16"/>
      <c r="D1840" s="15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4"/>
      <c r="B1841" s="15"/>
      <c r="C1841" s="16"/>
      <c r="D1841" s="15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4"/>
      <c r="B1842" s="15"/>
      <c r="C1842" s="16"/>
      <c r="D1842" s="15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4"/>
      <c r="B1843" s="15"/>
      <c r="C1843" s="16"/>
      <c r="D1843" s="15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4"/>
      <c r="B1844" s="15"/>
      <c r="C1844" s="16"/>
      <c r="D1844" s="15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4"/>
      <c r="B1845" s="15"/>
      <c r="C1845" s="16"/>
      <c r="D1845" s="15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4"/>
      <c r="B1846" s="15"/>
      <c r="C1846" s="16"/>
      <c r="D1846" s="15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4"/>
      <c r="B1847" s="15"/>
      <c r="C1847" s="16"/>
      <c r="D1847" s="15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4"/>
      <c r="B1848" s="15"/>
      <c r="C1848" s="16"/>
      <c r="D1848" s="15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4"/>
      <c r="B1849" s="15"/>
      <c r="C1849" s="16"/>
      <c r="D1849" s="15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4"/>
      <c r="B1850" s="15"/>
      <c r="C1850" s="16"/>
      <c r="D1850" s="15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4"/>
      <c r="B1851" s="15"/>
      <c r="C1851" s="16"/>
      <c r="D1851" s="15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4"/>
      <c r="B1852" s="15"/>
      <c r="C1852" s="16"/>
      <c r="D1852" s="15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4"/>
      <c r="B1853" s="15"/>
      <c r="C1853" s="16"/>
      <c r="D1853" s="15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4"/>
      <c r="B1854" s="15"/>
      <c r="C1854" s="16"/>
      <c r="D1854" s="15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4"/>
      <c r="B1855" s="15"/>
      <c r="C1855" s="16"/>
      <c r="D1855" s="15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4"/>
      <c r="B1856" s="15"/>
      <c r="C1856" s="16"/>
      <c r="D1856" s="15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4"/>
      <c r="B1857" s="15"/>
      <c r="C1857" s="16"/>
      <c r="D1857" s="15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4"/>
      <c r="B1858" s="15"/>
      <c r="C1858" s="16"/>
      <c r="D1858" s="15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4"/>
      <c r="B1859" s="15"/>
      <c r="C1859" s="16"/>
      <c r="D1859" s="15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4"/>
      <c r="B1860" s="15"/>
      <c r="C1860" s="16"/>
      <c r="D1860" s="15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4"/>
      <c r="B1861" s="15"/>
      <c r="C1861" s="16"/>
      <c r="D1861" s="15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4"/>
      <c r="B1862" s="15"/>
      <c r="C1862" s="16"/>
      <c r="D1862" s="15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4"/>
      <c r="B1863" s="15"/>
      <c r="C1863" s="16"/>
      <c r="D1863" s="15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4"/>
      <c r="B1864" s="15"/>
      <c r="C1864" s="16"/>
      <c r="D1864" s="15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4"/>
      <c r="B1865" s="15"/>
      <c r="C1865" s="16"/>
      <c r="D1865" s="15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4"/>
      <c r="B1866" s="15"/>
      <c r="C1866" s="16"/>
      <c r="D1866" s="15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4"/>
      <c r="B1867" s="15"/>
      <c r="C1867" s="16"/>
      <c r="D1867" s="15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4"/>
      <c r="B1868" s="15"/>
      <c r="C1868" s="16"/>
      <c r="D1868" s="15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4"/>
      <c r="B1869" s="15"/>
      <c r="C1869" s="16"/>
      <c r="D1869" s="15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4"/>
      <c r="B1870" s="15"/>
      <c r="C1870" s="16"/>
      <c r="D1870" s="15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4"/>
      <c r="B1871" s="15"/>
      <c r="C1871" s="16"/>
      <c r="D1871" s="15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4"/>
      <c r="B1872" s="15"/>
      <c r="C1872" s="16"/>
      <c r="D1872" s="15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4"/>
      <c r="B1873" s="15"/>
      <c r="C1873" s="16"/>
      <c r="D1873" s="15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4"/>
      <c r="B1874" s="15"/>
      <c r="C1874" s="16"/>
      <c r="D1874" s="15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4"/>
      <c r="B1875" s="15"/>
      <c r="C1875" s="16"/>
      <c r="D1875" s="15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4"/>
      <c r="B1876" s="15"/>
      <c r="C1876" s="16"/>
      <c r="D1876" s="15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4"/>
      <c r="B1877" s="15"/>
      <c r="C1877" s="16"/>
      <c r="D1877" s="15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4"/>
      <c r="B1878" s="15"/>
      <c r="C1878" s="16"/>
      <c r="D1878" s="15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4"/>
      <c r="B1879" s="15"/>
      <c r="C1879" s="16"/>
      <c r="D1879" s="15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4"/>
      <c r="B1880" s="15"/>
      <c r="C1880" s="16"/>
      <c r="D1880" s="15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4"/>
      <c r="B1881" s="15"/>
      <c r="C1881" s="16"/>
      <c r="D1881" s="15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4"/>
      <c r="B1882" s="15"/>
      <c r="C1882" s="16"/>
      <c r="D1882" s="15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4"/>
      <c r="B1883" s="15"/>
      <c r="C1883" s="16"/>
      <c r="D1883" s="15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4"/>
      <c r="B1884" s="15"/>
      <c r="C1884" s="16"/>
      <c r="D1884" s="15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4"/>
      <c r="B1885" s="15"/>
      <c r="C1885" s="16"/>
      <c r="D1885" s="15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4"/>
      <c r="B1886" s="15"/>
      <c r="C1886" s="16"/>
      <c r="D1886" s="15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4"/>
      <c r="B1887" s="15"/>
      <c r="C1887" s="16"/>
      <c r="D1887" s="15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4"/>
      <c r="B1888" s="15"/>
      <c r="C1888" s="16"/>
      <c r="D1888" s="15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4"/>
      <c r="B1889" s="15"/>
      <c r="C1889" s="16"/>
      <c r="D1889" s="15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4"/>
      <c r="B1890" s="15"/>
      <c r="C1890" s="16"/>
      <c r="D1890" s="15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4"/>
      <c r="B1891" s="15"/>
      <c r="C1891" s="16"/>
      <c r="D1891" s="15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4"/>
      <c r="B1892" s="15"/>
      <c r="C1892" s="16"/>
      <c r="D1892" s="15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4"/>
      <c r="B1893" s="15"/>
      <c r="C1893" s="16"/>
      <c r="D1893" s="15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4"/>
      <c r="B1894" s="15"/>
      <c r="C1894" s="16"/>
      <c r="D1894" s="15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4"/>
      <c r="B1895" s="15"/>
      <c r="C1895" s="16"/>
      <c r="D1895" s="15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4"/>
      <c r="B1896" s="15"/>
      <c r="C1896" s="16"/>
      <c r="D1896" s="15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4"/>
      <c r="B1897" s="15"/>
      <c r="C1897" s="16"/>
      <c r="D1897" s="15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4"/>
      <c r="B1898" s="15"/>
      <c r="C1898" s="16"/>
      <c r="D1898" s="15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4"/>
      <c r="B1899" s="15"/>
      <c r="C1899" s="16"/>
      <c r="D1899" s="15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4"/>
      <c r="B1900" s="15"/>
      <c r="C1900" s="16"/>
      <c r="D1900" s="15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4"/>
      <c r="B1901" s="15"/>
      <c r="C1901" s="16"/>
      <c r="D1901" s="15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4"/>
      <c r="B1902" s="15"/>
      <c r="C1902" s="16"/>
      <c r="D1902" s="15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4"/>
      <c r="B1903" s="15"/>
      <c r="C1903" s="16"/>
      <c r="D1903" s="15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4"/>
      <c r="B1904" s="15"/>
      <c r="C1904" s="16"/>
      <c r="D1904" s="15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4"/>
      <c r="B1905" s="15"/>
      <c r="C1905" s="16"/>
      <c r="D1905" s="15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4"/>
      <c r="B1906" s="15"/>
      <c r="C1906" s="16"/>
      <c r="D1906" s="15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4"/>
      <c r="B1907" s="15"/>
      <c r="C1907" s="16"/>
      <c r="D1907" s="15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4"/>
      <c r="B1908" s="15"/>
      <c r="C1908" s="16"/>
      <c r="D1908" s="15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4"/>
      <c r="B1909" s="15"/>
      <c r="C1909" s="16"/>
      <c r="D1909" s="15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4"/>
      <c r="B1910" s="15"/>
      <c r="C1910" s="16"/>
      <c r="D1910" s="15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4"/>
      <c r="B1911" s="15"/>
      <c r="C1911" s="16"/>
      <c r="D1911" s="15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4"/>
      <c r="B1912" s="15"/>
      <c r="C1912" s="16"/>
      <c r="D1912" s="15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4"/>
      <c r="B1913" s="15"/>
      <c r="C1913" s="16"/>
      <c r="D1913" s="15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4"/>
      <c r="B1914" s="15"/>
      <c r="C1914" s="16"/>
      <c r="D1914" s="15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4"/>
      <c r="B1915" s="15"/>
      <c r="C1915" s="16"/>
      <c r="D1915" s="15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4"/>
      <c r="B1916" s="15"/>
      <c r="C1916" s="16"/>
      <c r="D1916" s="15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4"/>
      <c r="B1917" s="15"/>
      <c r="C1917" s="16"/>
      <c r="D1917" s="15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4"/>
      <c r="B1918" s="15"/>
      <c r="C1918" s="16"/>
      <c r="D1918" s="15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4"/>
      <c r="B1919" s="15"/>
      <c r="C1919" s="16"/>
      <c r="D1919" s="15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4"/>
      <c r="B1920" s="15"/>
      <c r="C1920" s="16"/>
      <c r="D1920" s="15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4"/>
      <c r="B1921" s="15"/>
      <c r="C1921" s="16"/>
      <c r="D1921" s="15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4"/>
      <c r="B1922" s="15"/>
      <c r="C1922" s="16"/>
      <c r="D1922" s="15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4"/>
      <c r="B1923" s="15"/>
      <c r="C1923" s="16"/>
      <c r="D1923" s="15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4"/>
      <c r="B1924" s="15"/>
      <c r="C1924" s="16"/>
      <c r="D1924" s="15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4"/>
      <c r="B1925" s="15"/>
      <c r="C1925" s="16"/>
      <c r="D1925" s="15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4"/>
      <c r="B1926" s="15"/>
      <c r="C1926" s="16"/>
      <c r="D1926" s="15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4"/>
      <c r="B1927" s="15"/>
      <c r="C1927" s="16"/>
      <c r="D1927" s="15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4"/>
      <c r="B1928" s="15"/>
      <c r="C1928" s="16"/>
      <c r="D1928" s="15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4"/>
      <c r="B1929" s="15"/>
      <c r="C1929" s="16"/>
      <c r="D1929" s="15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4"/>
      <c r="B1930" s="15"/>
      <c r="C1930" s="16"/>
      <c r="D1930" s="15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4"/>
      <c r="B1931" s="15"/>
      <c r="C1931" s="16"/>
      <c r="D1931" s="15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4"/>
      <c r="B1932" s="15"/>
      <c r="C1932" s="16"/>
      <c r="D1932" s="15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4"/>
      <c r="B1933" s="15"/>
      <c r="C1933" s="16"/>
      <c r="D1933" s="15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4"/>
      <c r="B1934" s="15"/>
      <c r="C1934" s="16"/>
      <c r="D1934" s="15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4"/>
      <c r="B1935" s="15"/>
      <c r="C1935" s="16"/>
      <c r="D1935" s="15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4"/>
      <c r="B1936" s="15"/>
      <c r="C1936" s="16"/>
      <c r="D1936" s="15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4"/>
      <c r="B1937" s="15"/>
      <c r="C1937" s="16"/>
      <c r="D1937" s="15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4"/>
      <c r="B1938" s="15"/>
      <c r="C1938" s="16"/>
      <c r="D1938" s="15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4"/>
      <c r="B1939" s="15"/>
      <c r="C1939" s="16"/>
      <c r="D1939" s="15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4"/>
      <c r="B1940" s="15"/>
      <c r="C1940" s="16"/>
      <c r="D1940" s="15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4"/>
      <c r="B1941" s="15"/>
      <c r="C1941" s="16"/>
      <c r="D1941" s="15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4"/>
      <c r="B1942" s="15"/>
      <c r="C1942" s="16"/>
      <c r="D1942" s="15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4"/>
      <c r="B1943" s="15"/>
      <c r="C1943" s="16"/>
      <c r="D1943" s="15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4"/>
      <c r="B1944" s="15"/>
      <c r="C1944" s="16"/>
      <c r="D1944" s="15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4"/>
      <c r="B1945" s="15"/>
      <c r="C1945" s="16"/>
      <c r="D1945" s="15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4"/>
      <c r="B1946" s="15"/>
      <c r="C1946" s="16"/>
      <c r="D1946" s="15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4"/>
      <c r="B1947" s="15"/>
      <c r="C1947" s="16"/>
      <c r="D1947" s="15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4"/>
      <c r="B1948" s="15"/>
      <c r="C1948" s="16"/>
      <c r="D1948" s="15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4"/>
      <c r="B1949" s="15"/>
      <c r="C1949" s="16"/>
      <c r="D1949" s="15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4"/>
      <c r="B1950" s="15"/>
      <c r="C1950" s="16"/>
      <c r="D1950" s="15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4"/>
      <c r="B1951" s="15"/>
      <c r="C1951" s="16"/>
      <c r="D1951" s="15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4"/>
      <c r="B1952" s="15"/>
      <c r="C1952" s="16"/>
      <c r="D1952" s="15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4"/>
      <c r="B1953" s="15"/>
      <c r="C1953" s="16"/>
      <c r="D1953" s="15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4"/>
      <c r="B1954" s="15"/>
      <c r="C1954" s="16"/>
      <c r="D1954" s="15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4"/>
      <c r="B1955" s="15"/>
      <c r="C1955" s="16"/>
      <c r="D1955" s="15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4"/>
      <c r="B1956" s="15"/>
      <c r="C1956" s="16"/>
      <c r="D1956" s="15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4"/>
      <c r="B1957" s="15"/>
      <c r="C1957" s="16"/>
      <c r="D1957" s="15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4"/>
      <c r="B1958" s="15"/>
      <c r="C1958" s="16"/>
      <c r="D1958" s="15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4"/>
      <c r="B1959" s="15"/>
      <c r="C1959" s="16"/>
      <c r="D1959" s="15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4"/>
      <c r="B1960" s="15"/>
      <c r="C1960" s="16"/>
      <c r="D1960" s="15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4"/>
      <c r="B1961" s="15"/>
      <c r="C1961" s="16"/>
      <c r="D1961" s="15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4"/>
      <c r="B1962" s="15"/>
      <c r="C1962" s="16"/>
      <c r="D1962" s="15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4"/>
      <c r="B1963" s="15"/>
      <c r="C1963" s="16"/>
      <c r="D1963" s="15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4"/>
      <c r="B1964" s="15"/>
      <c r="C1964" s="16"/>
      <c r="D1964" s="15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4"/>
      <c r="B1965" s="15"/>
      <c r="C1965" s="16"/>
      <c r="D1965" s="15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4"/>
      <c r="B1966" s="15"/>
      <c r="C1966" s="16"/>
      <c r="D1966" s="15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4"/>
      <c r="B1967" s="15"/>
      <c r="C1967" s="16"/>
      <c r="D1967" s="15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4"/>
      <c r="B1968" s="15"/>
      <c r="C1968" s="16"/>
      <c r="D1968" s="15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4"/>
      <c r="B1969" s="15"/>
      <c r="C1969" s="16"/>
      <c r="D1969" s="15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4"/>
      <c r="B1970" s="15"/>
      <c r="C1970" s="16"/>
      <c r="D1970" s="15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4"/>
      <c r="B1971" s="15"/>
      <c r="C1971" s="16"/>
      <c r="D1971" s="15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4"/>
      <c r="B1972" s="15"/>
      <c r="C1972" s="16"/>
      <c r="D1972" s="15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4"/>
      <c r="B1973" s="15"/>
      <c r="C1973" s="16"/>
      <c r="D1973" s="15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4"/>
      <c r="B1974" s="15"/>
      <c r="C1974" s="16"/>
      <c r="D1974" s="15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4"/>
      <c r="B1975" s="15"/>
      <c r="C1975" s="16"/>
      <c r="D1975" s="15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5.75" customHeight="1">
      <c r="A1976" s="4"/>
      <c r="B1976" s="15"/>
      <c r="C1976" s="16"/>
      <c r="D1976" s="15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5.75" customHeight="1">
      <c r="A1977" s="4"/>
      <c r="B1977" s="15"/>
      <c r="C1977" s="16"/>
      <c r="D1977" s="15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.75" customHeight="1">
      <c r="A1978" s="4"/>
      <c r="B1978" s="15"/>
      <c r="C1978" s="16"/>
      <c r="D1978" s="15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5.75" customHeight="1">
      <c r="A1979" s="4"/>
      <c r="B1979" s="15"/>
      <c r="C1979" s="16"/>
      <c r="D1979" s="15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5.75" customHeight="1">
      <c r="A1980" s="4"/>
      <c r="B1980" s="15"/>
      <c r="C1980" s="16"/>
      <c r="D1980" s="15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5.75" customHeight="1">
      <c r="A1981" s="4"/>
      <c r="B1981" s="15"/>
      <c r="C1981" s="16"/>
      <c r="D1981" s="15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.75" customHeight="1">
      <c r="A1982" s="4"/>
      <c r="B1982" s="15"/>
      <c r="C1982" s="16"/>
      <c r="D1982" s="15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15.75" customHeight="1">
      <c r="A1983" s="4"/>
      <c r="B1983" s="15"/>
      <c r="C1983" s="16"/>
      <c r="D1983" s="15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15.75" customHeight="1">
      <c r="A1984" s="4"/>
      <c r="B1984" s="15"/>
      <c r="C1984" s="16"/>
      <c r="D1984" s="15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15.75" customHeight="1">
      <c r="A1985" s="4"/>
      <c r="B1985" s="15"/>
      <c r="C1985" s="16"/>
      <c r="D1985" s="15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15.75" customHeight="1">
      <c r="A1986" s="4"/>
      <c r="B1986" s="15"/>
      <c r="C1986" s="16"/>
      <c r="D1986" s="15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15.75" customHeight="1">
      <c r="A1987" s="4"/>
      <c r="B1987" s="15"/>
      <c r="C1987" s="16"/>
      <c r="D1987" s="15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.75" customHeight="1">
      <c r="A1988" s="4"/>
      <c r="B1988" s="15"/>
      <c r="C1988" s="16"/>
      <c r="D1988" s="15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15.75" customHeight="1">
      <c r="A1989" s="4"/>
      <c r="B1989" s="15"/>
      <c r="C1989" s="16"/>
      <c r="D1989" s="15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15.75" customHeight="1">
      <c r="A1990" s="4"/>
      <c r="B1990" s="15"/>
      <c r="C1990" s="16"/>
      <c r="D1990" s="15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.75" customHeight="1">
      <c r="A1991" s="4"/>
      <c r="B1991" s="15"/>
      <c r="C1991" s="16"/>
      <c r="D1991" s="15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.75" customHeight="1">
      <c r="A1992" s="4"/>
      <c r="B1992" s="15"/>
      <c r="C1992" s="16"/>
      <c r="D1992" s="15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15.75" customHeight="1">
      <c r="A1993" s="4"/>
      <c r="B1993" s="15"/>
      <c r="C1993" s="16"/>
      <c r="D1993" s="15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15.75" customHeight="1">
      <c r="A1994" s="4"/>
      <c r="B1994" s="15"/>
      <c r="C1994" s="16"/>
      <c r="D1994" s="15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customHeight="1">
      <c r="A1995" s="4"/>
      <c r="B1995" s="15"/>
      <c r="C1995" s="16"/>
      <c r="D1995" s="15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customHeight="1">
      <c r="A1996" s="4"/>
      <c r="B1996" s="15"/>
      <c r="C1996" s="16"/>
      <c r="D1996" s="15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15.75" customHeight="1">
      <c r="A1997" s="4"/>
      <c r="B1997" s="15"/>
      <c r="C1997" s="16"/>
      <c r="D1997" s="15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15.75" customHeight="1">
      <c r="A1998" s="4"/>
      <c r="B1998" s="15"/>
      <c r="C1998" s="16"/>
      <c r="D1998" s="15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15.75" customHeight="1">
      <c r="A1999" s="4"/>
      <c r="B1999" s="15"/>
      <c r="C1999" s="16"/>
      <c r="D1999" s="15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.75" customHeight="1">
      <c r="A2000" s="4"/>
      <c r="B2000" s="15"/>
      <c r="C2000" s="16"/>
      <c r="D2000" s="15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customHeight="1">
      <c r="A2001" s="4"/>
      <c r="B2001" s="15"/>
      <c r="C2001" s="16"/>
      <c r="D2001" s="15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customHeight="1">
      <c r="A2002" s="4"/>
      <c r="B2002" s="15"/>
      <c r="C2002" s="16"/>
      <c r="D2002" s="15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customHeight="1">
      <c r="A2003" s="4"/>
      <c r="B2003" s="15"/>
      <c r="C2003" s="16"/>
      <c r="D2003" s="15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15.75" customHeight="1">
      <c r="A2004" s="4"/>
      <c r="B2004" s="15"/>
      <c r="C2004" s="16"/>
      <c r="D2004" s="15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.75" customHeight="1">
      <c r="A2005" s="4"/>
      <c r="B2005" s="15"/>
      <c r="C2005" s="16"/>
      <c r="D2005" s="15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15.75" customHeight="1">
      <c r="A2006" s="4"/>
      <c r="B2006" s="15"/>
      <c r="C2006" s="16"/>
      <c r="D2006" s="15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.75" customHeight="1">
      <c r="A2007" s="4"/>
      <c r="B2007" s="15"/>
      <c r="C2007" s="16"/>
      <c r="D2007" s="15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15.75" customHeight="1">
      <c r="A2008" s="4"/>
      <c r="B2008" s="15"/>
      <c r="C2008" s="16"/>
      <c r="D2008" s="15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15.75" customHeight="1">
      <c r="A2009" s="4"/>
      <c r="B2009" s="15"/>
      <c r="C2009" s="16"/>
      <c r="D2009" s="15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15.75" customHeight="1">
      <c r="A2010" s="4"/>
      <c r="B2010" s="15"/>
      <c r="C2010" s="16"/>
      <c r="D2010" s="15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15.75" customHeight="1">
      <c r="A2011" s="4"/>
      <c r="B2011" s="15"/>
      <c r="C2011" s="16"/>
      <c r="D2011" s="15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.75" customHeight="1">
      <c r="A2012" s="4"/>
      <c r="B2012" s="15"/>
      <c r="C2012" s="16"/>
      <c r="D2012" s="15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15.75" customHeight="1">
      <c r="A2013" s="4"/>
      <c r="B2013" s="15"/>
      <c r="C2013" s="16"/>
      <c r="D2013" s="15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15.75" customHeight="1">
      <c r="A2014" s="4"/>
      <c r="B2014" s="15"/>
      <c r="C2014" s="16"/>
      <c r="D2014" s="15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15.75" customHeight="1">
      <c r="A2015" s="4"/>
      <c r="B2015" s="15"/>
      <c r="C2015" s="16"/>
      <c r="D2015" s="15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.75" customHeight="1">
      <c r="A2016" s="4"/>
      <c r="B2016" s="15"/>
      <c r="C2016" s="16"/>
      <c r="D2016" s="15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15.75" customHeight="1">
      <c r="A2017" s="4"/>
      <c r="B2017" s="15"/>
      <c r="C2017" s="16"/>
      <c r="D2017" s="15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15.75" customHeight="1">
      <c r="A2018" s="4"/>
      <c r="B2018" s="15"/>
      <c r="C2018" s="16"/>
      <c r="D2018" s="15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customHeight="1">
      <c r="A2019" s="4"/>
      <c r="B2019" s="15"/>
      <c r="C2019" s="16"/>
      <c r="D2019" s="15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customHeight="1">
      <c r="A2020" s="4"/>
      <c r="B2020" s="15"/>
      <c r="C2020" s="16"/>
      <c r="D2020" s="15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customHeight="1">
      <c r="A2021" s="4"/>
      <c r="B2021" s="15"/>
      <c r="C2021" s="16"/>
      <c r="D2021" s="15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customHeight="1">
      <c r="A2022" s="4"/>
      <c r="B2022" s="15"/>
      <c r="C2022" s="16"/>
      <c r="D2022" s="15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customHeight="1">
      <c r="A2023" s="4"/>
      <c r="B2023" s="15"/>
      <c r="C2023" s="16"/>
      <c r="D2023" s="15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</sheetData>
  <conditionalFormatting sqref="B1:D1023">
    <cfRule type="notContainsBlanks" dxfId="0" priority="1">
      <formula>LEN(TRIM(B1))&gt;0</formula>
    </cfRule>
  </conditionalFormatting>
  <conditionalFormatting sqref="D1:D1023">
    <cfRule type="containsBlanks" dxfId="1" priority="2">
      <formula>LEN(TRIM(D1))=0</formula>
    </cfRule>
  </conditionalFormatting>
  <conditionalFormatting sqref="D1:D1023">
    <cfRule type="notContainsText" dxfId="2" priority="3" operator="notContains" text="NEGATIVO">
      <formula>ISERROR(SEARCH(("NEGATIVO"),(D1)))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/>
  </sheetViews>
  <sheetFormatPr customHeight="1" defaultColWidth="14.43" defaultRowHeight="15.0" outlineLevelCol="1"/>
  <cols>
    <col customWidth="1" min="1" max="1" width="13.29" outlineLevel="1"/>
    <col customWidth="1" min="2" max="3" width="13.29"/>
    <col customWidth="1" hidden="1" min="4" max="4" width="13.29"/>
    <col customWidth="1" min="5" max="7" width="13.29"/>
    <col customWidth="1" hidden="1" min="8" max="8" width="13.29"/>
    <col customWidth="1" min="9" max="26" width="13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47.0"/>
  </cols>
  <sheetData>
    <row r="1">
      <c r="A1" s="19" t="s">
        <v>20</v>
      </c>
    </row>
    <row r="2">
      <c r="A2" s="10" t="s">
        <v>21</v>
      </c>
      <c r="B2" s="20" t="s">
        <v>3</v>
      </c>
    </row>
    <row r="3">
      <c r="A3" s="11"/>
      <c r="B3" s="21"/>
      <c r="D3" s="10" t="s">
        <v>7</v>
      </c>
      <c r="E3" s="10" t="s">
        <v>8</v>
      </c>
    </row>
    <row r="4">
      <c r="A4" s="11" t="s">
        <v>22</v>
      </c>
      <c r="B4" s="21">
        <f t="array" ref="B4">SUM(COUNTIF(Dados_2024!D2:D2024,{"LSIL","HSIL","ASC-H","AGC","CARCINOMA"}))</f>
        <v>54</v>
      </c>
      <c r="D4" s="11" t="s">
        <v>9</v>
      </c>
      <c r="E4" s="11">
        <f>COUNTIF(Dados_2024!D2:D2024,"NEGATIVO")</f>
        <v>939</v>
      </c>
    </row>
    <row r="5">
      <c r="A5" s="11"/>
      <c r="B5" s="21"/>
      <c r="D5" s="11" t="s">
        <v>10</v>
      </c>
      <c r="E5" s="11">
        <f t="array" ref="E5">SUM(COUNTIF(Dados_2024!D2:D2024,{"LSIL","HSIL","ASC-H","AGC-US","ASC-US"}))</f>
        <v>75</v>
      </c>
    </row>
    <row r="6">
      <c r="A6" s="11" t="s">
        <v>6</v>
      </c>
      <c r="B6" s="22">
        <f>AVERAGE(Dados_2024!B2:B1022)</f>
        <v>44.84427032</v>
      </c>
    </row>
    <row r="7">
      <c r="A7" s="11" t="s">
        <v>23</v>
      </c>
      <c r="B7" s="21">
        <f>STDEV(Dados_2024!B2:B1022)</f>
        <v>9.744090164</v>
      </c>
    </row>
    <row r="8">
      <c r="A8" s="11" t="s">
        <v>24</v>
      </c>
      <c r="B8" s="21">
        <f>AVERAGEIF(Dados_2024!D2:D2024,"NEGATIVO",Dados_2024!B2:B2024)</f>
        <v>44.85729499</v>
      </c>
      <c r="D8" s="10" t="s">
        <v>25</v>
      </c>
      <c r="E8" s="10" t="s">
        <v>26</v>
      </c>
    </row>
    <row r="9">
      <c r="A9" s="23"/>
      <c r="B9" s="24"/>
      <c r="D9" s="11" t="s">
        <v>9</v>
      </c>
      <c r="E9" s="11">
        <f>AVERAGEIF(Dados_2024!D2:D2024,"NEGATIVO",Dados_2024!B2:B2024)</f>
        <v>44.85729499</v>
      </c>
    </row>
    <row r="10">
      <c r="A10" s="11"/>
      <c r="B10" s="21"/>
      <c r="D10" s="11" t="s">
        <v>10</v>
      </c>
      <c r="E10" s="11" t="str">
        <v>#ERROR!</v>
      </c>
    </row>
    <row r="12">
      <c r="A12" s="11"/>
      <c r="B12" s="21"/>
    </row>
    <row r="13">
      <c r="A13" s="11"/>
      <c r="B13" s="21"/>
      <c r="D13" s="10" t="s">
        <v>27</v>
      </c>
      <c r="E13" s="10" t="s">
        <v>28</v>
      </c>
      <c r="F13" s="10" t="s">
        <v>29</v>
      </c>
    </row>
    <row r="14">
      <c r="D14" s="11" t="s">
        <v>30</v>
      </c>
      <c r="E14" s="11">
        <f>COUNTIFS(Dados_2024!B2:B2024,"&gt;=15",Dados_2024!B2:B2024,"&lt;=24")</f>
        <v>1</v>
      </c>
      <c r="F14" s="11">
        <f t="array" ref="F14">SUM(COUNTIFS(Dados_2024!D2:D2024,{"LSIL","HSIL","ASC-H","AGC","CARCINOMA"},Dados_2024!B2:B2024,"&gt;=15",Dados_2024!B2:B2024,"&lt;=24"))</f>
        <v>0</v>
      </c>
    </row>
    <row r="15">
      <c r="D15" s="11" t="s">
        <v>31</v>
      </c>
      <c r="E15" s="11">
        <f>COUNTIFS(Dados_2024!B2:B2024,"&gt;=25",Dados_2024!B2:B2024,"&lt;=34")</f>
        <v>175</v>
      </c>
      <c r="F15" s="11">
        <f t="array" ref="F15">SUM(COUNTIFS(Dados_2024!D2:D2024,{"LSIL","HSIL","ASC-H","AGC-US","ASC-US"},Dados_2024!B2:B2024,"&gt;=25",Dados_2024!B2:B2024,"&lt;=34"))</f>
        <v>16</v>
      </c>
    </row>
    <row r="16">
      <c r="D16" s="11" t="s">
        <v>32</v>
      </c>
      <c r="E16" s="11">
        <f>COUNTIFS(Dados_2024!B2:B2024,"&gt;=35",Dados_2024!B2:B2024,"&lt;=44")</f>
        <v>303</v>
      </c>
      <c r="F16" s="11">
        <f t="array" ref="F16">SUM(COUNTIFS(Dados_2024!D2:D2024,{"LSIL","HSIL","ASC-H","AGC-US","ASC-US"},Dados_2024!B2:B2024,"&gt;=35",Dados_2024!B2:B2024,"&lt;=44"))</f>
        <v>25</v>
      </c>
    </row>
    <row r="17">
      <c r="D17" s="11" t="s">
        <v>33</v>
      </c>
      <c r="E17" s="11">
        <f>COUNTIFS(Dados_2024!B2:B2024,"&gt;=45",Dados_2024!B2:B2024,"&lt;=54")</f>
        <v>360</v>
      </c>
      <c r="F17" s="11">
        <f t="array" ref="F17">SUM(COUNTIFS(Dados_2024!D2:D2024,{"LSIL","HSIL","ASC-H","AGC-US","ASC-US"},Dados_2024!B2:B2024,"&gt;=45",Dados_2024!B2:B2024,"&lt;=54"))</f>
        <v>20</v>
      </c>
    </row>
    <row r="18">
      <c r="D18" s="11" t="s">
        <v>34</v>
      </c>
      <c r="E18" s="11">
        <f>COUNTIFS(Dados_2024!B2:B2024,"&gt;=55")</f>
        <v>183</v>
      </c>
      <c r="F18" s="11">
        <f t="array" ref="F18">SUM(COUNTIFS(Dados_2024!D2:D2024,{"LSIL","HSIL","ASC-H","AGC-US","ASC-US"},Dados_2024!B2:B2024,"&gt;=55"))</f>
        <v>14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2025-10-26T17:21:59Z</dcterms:created>
</cp:coreProperties>
</file>